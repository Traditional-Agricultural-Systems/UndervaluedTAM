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fe155c442e4e1a/Escritorio/Datos INEGI/"/>
    </mc:Choice>
  </mc:AlternateContent>
  <xr:revisionPtr revIDLastSave="0" documentId="8_{DB85A30F-0254-4753-BFC7-1E35F59F1698}" xr6:coauthVersionLast="47" xr6:coauthVersionMax="47" xr10:uidLastSave="{00000000-0000-0000-0000-000000000000}"/>
  <bookViews>
    <workbookView xWindow="-120" yWindow="-120" windowWidth="29040" windowHeight="15840" xr2:uid="{E7F0C064-CFAE-44C1-AE62-E591EEA70425}"/>
  </bookViews>
  <sheets>
    <sheet name="Cost-benefit Traditiona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7" i="1" l="1"/>
  <c r="F376" i="1"/>
  <c r="F375" i="1"/>
  <c r="F366" i="1"/>
  <c r="F360" i="1"/>
  <c r="A360" i="1"/>
  <c r="F358" i="1"/>
  <c r="A358" i="1"/>
  <c r="F357" i="1"/>
  <c r="A357" i="1"/>
  <c r="A365" i="1" s="1"/>
  <c r="F365" i="1" s="1"/>
  <c r="F353" i="1"/>
  <c r="A353" i="1"/>
  <c r="H349" i="1"/>
  <c r="G349" i="1"/>
  <c r="C349" i="1"/>
  <c r="B349" i="1"/>
  <c r="D348" i="1"/>
  <c r="D347" i="1"/>
  <c r="G342" i="1"/>
  <c r="B342" i="1"/>
  <c r="F334" i="1"/>
  <c r="A334" i="1"/>
  <c r="H328" i="1"/>
  <c r="C328" i="1"/>
  <c r="F325" i="1"/>
  <c r="B313" i="1"/>
  <c r="B334" i="1" s="1"/>
  <c r="C334" i="1" s="1"/>
  <c r="D334" i="1" s="1"/>
  <c r="K302" i="1"/>
  <c r="J302" i="1"/>
  <c r="B302" i="1"/>
  <c r="E306" i="1" s="1"/>
  <c r="K301" i="1"/>
  <c r="J301" i="1"/>
  <c r="K300" i="1"/>
  <c r="J300" i="1"/>
  <c r="B299" i="1"/>
  <c r="E308" i="1" s="1"/>
  <c r="C320" i="1" s="1"/>
  <c r="K287" i="1"/>
  <c r="J287" i="1"/>
  <c r="H287" i="1"/>
  <c r="E287" i="1"/>
  <c r="A287" i="1"/>
  <c r="J286" i="1"/>
  <c r="K286" i="1" s="1"/>
  <c r="H286" i="1"/>
  <c r="E286" i="1"/>
  <c r="A286" i="1"/>
  <c r="H285" i="1"/>
  <c r="J285" i="1" s="1"/>
  <c r="K285" i="1" s="1"/>
  <c r="E285" i="1"/>
  <c r="A285" i="1"/>
  <c r="H284" i="1"/>
  <c r="E284" i="1"/>
  <c r="J284" i="1" s="1"/>
  <c r="K284" i="1" s="1"/>
  <c r="A284" i="1"/>
  <c r="H283" i="1"/>
  <c r="E283" i="1"/>
  <c r="J283" i="1" s="1"/>
  <c r="A283" i="1"/>
  <c r="K282" i="1"/>
  <c r="J282" i="1"/>
  <c r="H282" i="1"/>
  <c r="E282" i="1"/>
  <c r="A282" i="1"/>
  <c r="K281" i="1"/>
  <c r="J281" i="1"/>
  <c r="H281" i="1"/>
  <c r="E281" i="1"/>
  <c r="A281" i="1"/>
  <c r="K279" i="1"/>
  <c r="J279" i="1"/>
  <c r="E279" i="1"/>
  <c r="A279" i="1"/>
  <c r="J278" i="1"/>
  <c r="K278" i="1" s="1"/>
  <c r="H278" i="1"/>
  <c r="E278" i="1"/>
  <c r="A278" i="1"/>
  <c r="H277" i="1"/>
  <c r="J277" i="1" s="1"/>
  <c r="K277" i="1" s="1"/>
  <c r="E277" i="1"/>
  <c r="A277" i="1"/>
  <c r="H276" i="1"/>
  <c r="E276" i="1"/>
  <c r="J276" i="1" s="1"/>
  <c r="K276" i="1" s="1"/>
  <c r="A276" i="1"/>
  <c r="E275" i="1"/>
  <c r="J275" i="1" s="1"/>
  <c r="K275" i="1" s="1"/>
  <c r="A275" i="1"/>
  <c r="K274" i="1"/>
  <c r="J274" i="1"/>
  <c r="H274" i="1"/>
  <c r="E274" i="1"/>
  <c r="A274" i="1"/>
  <c r="J273" i="1"/>
  <c r="K273" i="1" s="1"/>
  <c r="H273" i="1"/>
  <c r="E273" i="1"/>
  <c r="A273" i="1"/>
  <c r="H272" i="1"/>
  <c r="J272" i="1" s="1"/>
  <c r="K272" i="1" s="1"/>
  <c r="E272" i="1"/>
  <c r="A272" i="1"/>
  <c r="H271" i="1"/>
  <c r="E271" i="1"/>
  <c r="J271" i="1" s="1"/>
  <c r="K271" i="1" s="1"/>
  <c r="A271" i="1"/>
  <c r="H270" i="1"/>
  <c r="J270" i="1" s="1"/>
  <c r="K270" i="1" s="1"/>
  <c r="A270" i="1"/>
  <c r="K269" i="1"/>
  <c r="J269" i="1"/>
  <c r="H269" i="1"/>
  <c r="E269" i="1"/>
  <c r="A269" i="1"/>
  <c r="J268" i="1"/>
  <c r="K268" i="1" s="1"/>
  <c r="E268" i="1"/>
  <c r="A268" i="1"/>
  <c r="H267" i="1"/>
  <c r="E267" i="1"/>
  <c r="J267" i="1" s="1"/>
  <c r="K267" i="1" s="1"/>
  <c r="A267" i="1"/>
  <c r="H266" i="1"/>
  <c r="E266" i="1"/>
  <c r="J266" i="1" s="1"/>
  <c r="K266" i="1" s="1"/>
  <c r="A266" i="1"/>
  <c r="K265" i="1"/>
  <c r="J265" i="1"/>
  <c r="E265" i="1"/>
  <c r="A265" i="1"/>
  <c r="J264" i="1"/>
  <c r="K264" i="1" s="1"/>
  <c r="H264" i="1"/>
  <c r="E264" i="1"/>
  <c r="A264" i="1"/>
  <c r="H263" i="1"/>
  <c r="J263" i="1" s="1"/>
  <c r="K263" i="1" s="1"/>
  <c r="E263" i="1"/>
  <c r="A263" i="1"/>
  <c r="H262" i="1"/>
  <c r="E262" i="1"/>
  <c r="J262" i="1" s="1"/>
  <c r="K262" i="1" s="1"/>
  <c r="A262" i="1"/>
  <c r="H261" i="1"/>
  <c r="E261" i="1"/>
  <c r="J261" i="1" s="1"/>
  <c r="A261" i="1"/>
  <c r="K260" i="1"/>
  <c r="J260" i="1"/>
  <c r="H260" i="1"/>
  <c r="E260" i="1"/>
  <c r="A260" i="1"/>
  <c r="I258" i="1"/>
  <c r="H258" i="1"/>
  <c r="G258" i="1"/>
  <c r="E258" i="1"/>
  <c r="J258" i="1" s="1"/>
  <c r="K258" i="1" s="1"/>
  <c r="A258" i="1"/>
  <c r="I257" i="1"/>
  <c r="H257" i="1"/>
  <c r="G257" i="1"/>
  <c r="E257" i="1"/>
  <c r="J257" i="1" s="1"/>
  <c r="K257" i="1" s="1"/>
  <c r="A257" i="1"/>
  <c r="J256" i="1"/>
  <c r="K256" i="1" s="1"/>
  <c r="I256" i="1"/>
  <c r="H256" i="1"/>
  <c r="G256" i="1"/>
  <c r="E256" i="1"/>
  <c r="A256" i="1"/>
  <c r="J255" i="1"/>
  <c r="K255" i="1" s="1"/>
  <c r="I255" i="1"/>
  <c r="H255" i="1"/>
  <c r="G255" i="1"/>
  <c r="E255" i="1"/>
  <c r="A255" i="1"/>
  <c r="I254" i="1"/>
  <c r="H254" i="1"/>
  <c r="G254" i="1"/>
  <c r="E254" i="1"/>
  <c r="J254" i="1" s="1"/>
  <c r="K254" i="1" s="1"/>
  <c r="A254" i="1"/>
  <c r="I253" i="1"/>
  <c r="H253" i="1"/>
  <c r="G253" i="1"/>
  <c r="E253" i="1"/>
  <c r="J253" i="1" s="1"/>
  <c r="A253" i="1"/>
  <c r="K242" i="1"/>
  <c r="I348" i="1" s="1"/>
  <c r="K241" i="1"/>
  <c r="K240" i="1"/>
  <c r="I347" i="1" s="1"/>
  <c r="J240" i="1"/>
  <c r="K237" i="1"/>
  <c r="J237" i="1"/>
  <c r="H237" i="1"/>
  <c r="H236" i="1"/>
  <c r="J236" i="1" s="1"/>
  <c r="K236" i="1" s="1"/>
  <c r="K235" i="1"/>
  <c r="J235" i="1"/>
  <c r="H235" i="1"/>
  <c r="H234" i="1"/>
  <c r="J234" i="1" s="1"/>
  <c r="K234" i="1" s="1"/>
  <c r="K233" i="1"/>
  <c r="J233" i="1"/>
  <c r="H233" i="1"/>
  <c r="H232" i="1"/>
  <c r="J232" i="1" s="1"/>
  <c r="K232" i="1" s="1"/>
  <c r="K231" i="1"/>
  <c r="J231" i="1"/>
  <c r="H231" i="1"/>
  <c r="H230" i="1"/>
  <c r="J230" i="1" s="1"/>
  <c r="F219" i="1"/>
  <c r="F218" i="1"/>
  <c r="F213" i="1"/>
  <c r="H213" i="1" s="1"/>
  <c r="H214" i="1" s="1"/>
  <c r="B337" i="1" s="1"/>
  <c r="G208" i="1"/>
  <c r="F208" i="1"/>
  <c r="F207" i="1"/>
  <c r="F209" i="1" s="1"/>
  <c r="B314" i="1" s="1"/>
  <c r="H197" i="1"/>
  <c r="G197" i="1"/>
  <c r="G196" i="1"/>
  <c r="G195" i="1" s="1"/>
  <c r="H194" i="1"/>
  <c r="G193" i="1"/>
  <c r="H193" i="1" s="1"/>
  <c r="H192" i="1"/>
  <c r="G192" i="1"/>
  <c r="G191" i="1" s="1"/>
  <c r="F190" i="1"/>
  <c r="G190" i="1" s="1"/>
  <c r="H190" i="1" s="1"/>
  <c r="E190" i="1"/>
  <c r="A190" i="1"/>
  <c r="F189" i="1"/>
  <c r="E189" i="1"/>
  <c r="G189" i="1" s="1"/>
  <c r="H189" i="1" s="1"/>
  <c r="A189" i="1"/>
  <c r="F188" i="1"/>
  <c r="E188" i="1"/>
  <c r="G188" i="1" s="1"/>
  <c r="H188" i="1" s="1"/>
  <c r="A188" i="1"/>
  <c r="H187" i="1"/>
  <c r="G187" i="1"/>
  <c r="F187" i="1"/>
  <c r="E187" i="1"/>
  <c r="A187" i="1"/>
  <c r="H186" i="1"/>
  <c r="G186" i="1"/>
  <c r="F186" i="1"/>
  <c r="E186" i="1"/>
  <c r="A186" i="1"/>
  <c r="G185" i="1"/>
  <c r="F185" i="1"/>
  <c r="E185" i="1"/>
  <c r="A185" i="1"/>
  <c r="H183" i="1"/>
  <c r="G183" i="1"/>
  <c r="F183" i="1"/>
  <c r="E183" i="1"/>
  <c r="A183" i="1"/>
  <c r="G182" i="1"/>
  <c r="H182" i="1" s="1"/>
  <c r="F182" i="1"/>
  <c r="E182" i="1"/>
  <c r="A182" i="1"/>
  <c r="F181" i="1"/>
  <c r="G181" i="1" s="1"/>
  <c r="H181" i="1" s="1"/>
  <c r="E181" i="1"/>
  <c r="A181" i="1"/>
  <c r="F180" i="1"/>
  <c r="E180" i="1"/>
  <c r="G180" i="1" s="1"/>
  <c r="H180" i="1" s="1"/>
  <c r="A180" i="1"/>
  <c r="F179" i="1"/>
  <c r="E179" i="1"/>
  <c r="G179" i="1" s="1"/>
  <c r="A179" i="1"/>
  <c r="H178" i="1"/>
  <c r="G178" i="1"/>
  <c r="F178" i="1"/>
  <c r="E178" i="1"/>
  <c r="A178" i="1"/>
  <c r="F171" i="1"/>
  <c r="B315" i="1" s="1"/>
  <c r="F170" i="1"/>
  <c r="I163" i="1"/>
  <c r="G163" i="1"/>
  <c r="F163" i="1"/>
  <c r="F162" i="1"/>
  <c r="G162" i="1" s="1"/>
  <c r="I162" i="1" s="1"/>
  <c r="I161" i="1"/>
  <c r="G161" i="1"/>
  <c r="F161" i="1"/>
  <c r="F160" i="1"/>
  <c r="G160" i="1" s="1"/>
  <c r="I160" i="1" s="1"/>
  <c r="I159" i="1"/>
  <c r="G159" i="1"/>
  <c r="F159" i="1"/>
  <c r="F158" i="1"/>
  <c r="G158" i="1" s="1"/>
  <c r="I158" i="1" s="1"/>
  <c r="I157" i="1"/>
  <c r="G157" i="1"/>
  <c r="F157" i="1"/>
  <c r="G155" i="1"/>
  <c r="E144" i="1"/>
  <c r="F144" i="1" s="1"/>
  <c r="A144" i="1"/>
  <c r="F143" i="1"/>
  <c r="F145" i="1" s="1"/>
  <c r="E143" i="1"/>
  <c r="A143" i="1"/>
  <c r="C137" i="1"/>
  <c r="C138" i="1" s="1"/>
  <c r="B112" i="1"/>
  <c r="B110" i="1"/>
  <c r="B109" i="1"/>
  <c r="D95" i="1"/>
  <c r="C94" i="1"/>
  <c r="B94" i="1"/>
  <c r="C93" i="1"/>
  <c r="B93" i="1"/>
  <c r="B92" i="1"/>
  <c r="C92" i="1" s="1"/>
  <c r="C91" i="1"/>
  <c r="B91" i="1"/>
  <c r="C90" i="1"/>
  <c r="B90" i="1"/>
  <c r="B89" i="1"/>
  <c r="C89" i="1" s="1"/>
  <c r="D75" i="1"/>
  <c r="G62" i="1"/>
  <c r="G61" i="1"/>
  <c r="G58" i="1"/>
  <c r="G59" i="1" s="1"/>
  <c r="B58" i="1"/>
  <c r="B59" i="1" s="1"/>
  <c r="G57" i="1"/>
  <c r="E57" i="1"/>
  <c r="G56" i="1"/>
  <c r="G55" i="1"/>
  <c r="C51" i="1"/>
  <c r="C48" i="1"/>
  <c r="C46" i="1"/>
  <c r="B45" i="1"/>
  <c r="B44" i="1" s="1"/>
  <c r="F44" i="1"/>
  <c r="C43" i="1"/>
  <c r="F42" i="1"/>
  <c r="K41" i="1"/>
  <c r="O31" i="1"/>
  <c r="N31" i="1"/>
  <c r="K31" i="1"/>
  <c r="J31" i="1"/>
  <c r="G31" i="1"/>
  <c r="C31" i="1"/>
  <c r="Q30" i="1"/>
  <c r="O30" i="1"/>
  <c r="L30" i="1"/>
  <c r="H30" i="1"/>
  <c r="Q29" i="1"/>
  <c r="O29" i="1"/>
  <c r="L29" i="1"/>
  <c r="H29" i="1"/>
  <c r="Q28" i="1"/>
  <c r="O28" i="1"/>
  <c r="M28" i="1"/>
  <c r="L28" i="1"/>
  <c r="H28" i="1"/>
  <c r="Q27" i="1"/>
  <c r="O27" i="1"/>
  <c r="L27" i="1"/>
  <c r="H27" i="1"/>
  <c r="Q26" i="1"/>
  <c r="O26" i="1"/>
  <c r="L26" i="1"/>
  <c r="H26" i="1"/>
  <c r="Q25" i="1"/>
  <c r="O25" i="1"/>
  <c r="L25" i="1"/>
  <c r="H25" i="1"/>
  <c r="Q24" i="1"/>
  <c r="O24" i="1"/>
  <c r="L24" i="1"/>
  <c r="H24" i="1"/>
  <c r="Q23" i="1"/>
  <c r="O23" i="1"/>
  <c r="L23" i="1"/>
  <c r="H23" i="1"/>
  <c r="C23" i="1"/>
  <c r="Q22" i="1"/>
  <c r="O22" i="1"/>
  <c r="L22" i="1"/>
  <c r="L31" i="1" s="1"/>
  <c r="L32" i="1" s="1"/>
  <c r="H22" i="1"/>
  <c r="H31" i="1" s="1"/>
  <c r="C22" i="1"/>
  <c r="J238" i="1" l="1"/>
  <c r="K230" i="1"/>
  <c r="O32" i="1"/>
  <c r="O33" i="1"/>
  <c r="I156" i="1"/>
  <c r="H185" i="1"/>
  <c r="G184" i="1"/>
  <c r="H184" i="1" s="1"/>
  <c r="H195" i="1"/>
  <c r="G198" i="1"/>
  <c r="C337" i="1"/>
  <c r="D337" i="1" s="1"/>
  <c r="G337" i="1"/>
  <c r="H337" i="1" s="1"/>
  <c r="I337" i="1" s="1"/>
  <c r="K253" i="1"/>
  <c r="J252" i="1"/>
  <c r="B335" i="1"/>
  <c r="C335" i="1" s="1"/>
  <c r="D335" i="1" s="1"/>
  <c r="C314" i="1"/>
  <c r="G335" i="1" s="1"/>
  <c r="H335" i="1" s="1"/>
  <c r="I335" i="1" s="1"/>
  <c r="K283" i="1"/>
  <c r="J280" i="1"/>
  <c r="G177" i="1"/>
  <c r="H177" i="1" s="1"/>
  <c r="H179" i="1"/>
  <c r="D32" i="1"/>
  <c r="D33" i="1"/>
  <c r="C95" i="1"/>
  <c r="J259" i="1"/>
  <c r="K259" i="1" s="1"/>
  <c r="K261" i="1"/>
  <c r="G154" i="1"/>
  <c r="I155" i="1"/>
  <c r="I154" i="1" s="1"/>
  <c r="Q31" i="1"/>
  <c r="Q32" i="1" s="1"/>
  <c r="C315" i="1"/>
  <c r="B336" i="1"/>
  <c r="C336" i="1" s="1"/>
  <c r="D336" i="1" s="1"/>
  <c r="G336" i="1"/>
  <c r="H336" i="1" s="1"/>
  <c r="I336" i="1" s="1"/>
  <c r="H191" i="1"/>
  <c r="B368" i="1"/>
  <c r="C368" i="1" s="1"/>
  <c r="D368" i="1" s="1"/>
  <c r="D34" i="1"/>
  <c r="D35" i="1" s="1"/>
  <c r="E145" i="1"/>
  <c r="G156" i="1"/>
  <c r="G164" i="1" s="1"/>
  <c r="G207" i="1"/>
  <c r="C313" i="1"/>
  <c r="G334" i="1" s="1"/>
  <c r="H334" i="1" s="1"/>
  <c r="I334" i="1" s="1"/>
  <c r="F214" i="1"/>
  <c r="D345" i="1"/>
  <c r="C304" i="1"/>
  <c r="H196" i="1"/>
  <c r="E305" i="1"/>
  <c r="E307" i="1"/>
  <c r="H198" i="1" l="1"/>
  <c r="B311" i="1"/>
  <c r="G209" i="1"/>
  <c r="I345" i="1"/>
  <c r="J289" i="1"/>
  <c r="K280" i="1"/>
  <c r="I164" i="1"/>
  <c r="C341" i="1" s="1"/>
  <c r="G368" i="1"/>
  <c r="H368" i="1" s="1"/>
  <c r="I368" i="1" s="1"/>
  <c r="K252" i="1"/>
  <c r="G326" i="1" s="1"/>
  <c r="B326" i="1"/>
  <c r="K238" i="1"/>
  <c r="J239" i="1"/>
  <c r="B312" i="1" l="1"/>
  <c r="K239" i="1"/>
  <c r="M239" i="1" s="1"/>
  <c r="D341" i="1"/>
  <c r="D342" i="1" s="1"/>
  <c r="H341" i="1"/>
  <c r="C342" i="1"/>
  <c r="C326" i="1"/>
  <c r="B376" i="1"/>
  <c r="K289" i="1"/>
  <c r="D327" i="1"/>
  <c r="H326" i="1"/>
  <c r="G358" i="1"/>
  <c r="J288" i="1"/>
  <c r="K288" i="1" s="1"/>
  <c r="B316" i="1"/>
  <c r="B317" i="1" s="1"/>
  <c r="B320" i="1" s="1"/>
  <c r="C311" i="1"/>
  <c r="B332" i="1"/>
  <c r="G332" i="1" l="1"/>
  <c r="B327" i="1"/>
  <c r="B329" i="1" s="1"/>
  <c r="B353" i="1" s="1"/>
  <c r="C327" i="1"/>
  <c r="C329" i="1" s="1"/>
  <c r="C353" i="1" s="1"/>
  <c r="I327" i="1"/>
  <c r="K290" i="1"/>
  <c r="H342" i="1"/>
  <c r="I341" i="1"/>
  <c r="I342" i="1" s="1"/>
  <c r="D320" i="1"/>
  <c r="D321" i="1" s="1"/>
  <c r="D346" i="1" s="1"/>
  <c r="D349" i="1" s="1"/>
  <c r="B321" i="1"/>
  <c r="J290" i="1"/>
  <c r="C332" i="1"/>
  <c r="I326" i="1"/>
  <c r="H358" i="1"/>
  <c r="D326" i="1"/>
  <c r="D329" i="1" s="1"/>
  <c r="D353" i="1" s="1"/>
  <c r="C312" i="1"/>
  <c r="G333" i="1" s="1"/>
  <c r="H333" i="1" s="1"/>
  <c r="I333" i="1" s="1"/>
  <c r="B333" i="1"/>
  <c r="C333" i="1" s="1"/>
  <c r="D333" i="1" s="1"/>
  <c r="C358" i="1" l="1"/>
  <c r="C366" i="1"/>
  <c r="H327" i="1"/>
  <c r="H329" i="1" s="1"/>
  <c r="H353" i="1" s="1"/>
  <c r="G327" i="1"/>
  <c r="G329" i="1" s="1"/>
  <c r="G353" i="1" s="1"/>
  <c r="G376" i="1"/>
  <c r="I358" i="1"/>
  <c r="I329" i="1"/>
  <c r="C338" i="1"/>
  <c r="C350" i="1" s="1"/>
  <c r="C354" i="1" s="1"/>
  <c r="D332" i="1"/>
  <c r="D338" i="1" s="1"/>
  <c r="D350" i="1" s="1"/>
  <c r="D354" i="1" s="1"/>
  <c r="B358" i="1"/>
  <c r="B366" i="1"/>
  <c r="D366" i="1"/>
  <c r="B375" i="1"/>
  <c r="B338" i="1"/>
  <c r="B350" i="1" s="1"/>
  <c r="B354" i="1" s="1"/>
  <c r="C316" i="1"/>
  <c r="C317" i="1" s="1"/>
  <c r="E320" i="1" s="1"/>
  <c r="E321" i="1" s="1"/>
  <c r="I346" i="1" s="1"/>
  <c r="I349" i="1" s="1"/>
  <c r="H332" i="1"/>
  <c r="G338" i="1"/>
  <c r="G350" i="1" s="1"/>
  <c r="G354" i="1" s="1"/>
  <c r="G366" i="1" l="1"/>
  <c r="G355" i="1"/>
  <c r="B359" i="1"/>
  <c r="B362" i="1" s="1"/>
  <c r="B367" i="1"/>
  <c r="B371" i="1" s="1"/>
  <c r="D367" i="1"/>
  <c r="D371" i="1" s="1"/>
  <c r="D359" i="1"/>
  <c r="D362" i="1" s="1"/>
  <c r="D358" i="1"/>
  <c r="B377" i="1"/>
  <c r="C359" i="1"/>
  <c r="C362" i="1" s="1"/>
  <c r="C367" i="1"/>
  <c r="C371" i="1" s="1"/>
  <c r="H366" i="1"/>
  <c r="D355" i="1"/>
  <c r="G375" i="1"/>
  <c r="G377" i="1" s="1"/>
  <c r="I353" i="1"/>
  <c r="B369" i="1"/>
  <c r="C369" i="1"/>
  <c r="B355" i="1"/>
  <c r="G367" i="1"/>
  <c r="G371" i="1" s="1"/>
  <c r="G359" i="1"/>
  <c r="D369" i="1"/>
  <c r="C355" i="1"/>
  <c r="I332" i="1"/>
  <c r="I338" i="1" s="1"/>
  <c r="I350" i="1" s="1"/>
  <c r="I354" i="1" s="1"/>
  <c r="H338" i="1"/>
  <c r="H350" i="1" s="1"/>
  <c r="H354" i="1" s="1"/>
  <c r="H355" i="1" s="1"/>
  <c r="B360" i="1"/>
  <c r="H369" i="1" l="1"/>
  <c r="C360" i="1"/>
  <c r="G362" i="1"/>
  <c r="G360" i="1"/>
  <c r="I355" i="1"/>
  <c r="I366" i="1"/>
  <c r="I369" i="1" s="1"/>
  <c r="H367" i="1"/>
  <c r="H371" i="1" s="1"/>
  <c r="H359" i="1"/>
  <c r="I359" i="1"/>
  <c r="I367" i="1"/>
  <c r="I371" i="1" s="1"/>
  <c r="D360" i="1"/>
  <c r="G369" i="1"/>
  <c r="I362" i="1" l="1"/>
  <c r="I360" i="1"/>
  <c r="H362" i="1"/>
  <c r="H36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Juvenal</author>
  </authors>
  <commentList>
    <comment ref="D321" authorId="0" shapeId="0" xr:uid="{EBEBEBAB-9501-4290-8A5B-88DFC336E715}">
      <text>
        <r>
          <rPr>
            <b/>
            <sz val="9"/>
            <color rgb="FF000000"/>
            <rFont val="Tahoma"/>
            <family val="2"/>
          </rPr>
          <t>El dinero que tenemos invertido nos cuesta este valor por estar parado</t>
        </r>
      </text>
    </comment>
  </commentList>
</comments>
</file>

<file path=xl/sharedStrings.xml><?xml version="1.0" encoding="utf-8"?>
<sst xmlns="http://schemas.openxmlformats.org/spreadsheetml/2006/main" count="601" uniqueCount="388">
  <si>
    <t>ESTIMACIÓN DE COSTOS Y BENEFICIOS EN DOS AGROECOSISTEMAS TRADICIONALES DE LA SIERRA DE ZONGOLICA</t>
  </si>
  <si>
    <t>PANEL DE COSTOS DE PRODUCCIÓN CON PRODUCTORES DE LA SIERRA DE ZONGOLICA
 SISTEMA MILPA</t>
  </si>
  <si>
    <t>1. CARACTERÍSTICAS GENERALES DE LOS PARTICIPANTES EN EL PANEL DE COSTOS DE PRODUCCIÓN</t>
  </si>
  <si>
    <t>URP</t>
  </si>
  <si>
    <t>VESM01</t>
  </si>
  <si>
    <t>Municipio</t>
  </si>
  <si>
    <t>Localidad</t>
  </si>
  <si>
    <t>Amoltepec</t>
  </si>
  <si>
    <t>Fecha del panel</t>
  </si>
  <si>
    <t>Fecha de validación</t>
  </si>
  <si>
    <t>Descripción de la unidad de producción</t>
  </si>
  <si>
    <t>La Unidad Representativa de Producción (URP) se encuentra en la comunidad de Amoltepec perteneciente al municipio de Tehuipango en el estado de Veracruz. La URP se construyó para a 0.5 ha del Sistema Milpa (Maíz, haba, frijol, calabaza). En el panel participaron nueve productores. El sistema de producción es de temporal, de agricultura de subsistencia.</t>
  </si>
  <si>
    <t>Nombre del Productor</t>
  </si>
  <si>
    <t>Ubicación URP</t>
  </si>
  <si>
    <t>Superficie en Tareas</t>
  </si>
  <si>
    <t xml:space="preserve">Tipo de maíz </t>
  </si>
  <si>
    <t>Subproductos</t>
  </si>
  <si>
    <t>Tenencia</t>
  </si>
  <si>
    <t>Rendimiento (costales/extención total)</t>
  </si>
  <si>
    <t xml:space="preserve">Rendimiento (kg/superficie total) </t>
  </si>
  <si>
    <t>Ganadería de traspatio</t>
  </si>
  <si>
    <t>Meses de duración para consumo</t>
  </si>
  <si>
    <t>Integrantes de la familia</t>
  </si>
  <si>
    <t>Kg de consumo de ganadería de traspatio ((litros diarios*meses de duración de consumo*30días)*Equivalencia de rendimiento de kg por litro</t>
  </si>
  <si>
    <t>lt para animales diarios (menor calidad y parte de la producción)</t>
  </si>
  <si>
    <t>lt de nixtamal en la semana</t>
  </si>
  <si>
    <t>Kg de nixtamal por meses de duración de autoconsumo</t>
  </si>
  <si>
    <t>kg de semilla para sembrar 1 tarea</t>
  </si>
  <si>
    <t>kg de semilla para siembra por ciclo</t>
  </si>
  <si>
    <t>Compra para terminar el año</t>
  </si>
  <si>
    <t>Loma Bonita (tres partes)</t>
  </si>
  <si>
    <t xml:space="preserve">
Blanco
Morado
Blanco</t>
  </si>
  <si>
    <t>Chilacayota
Navayotl
Nahuayote
Chícharo
Haba
Cempasúchitl
Frijol</t>
  </si>
  <si>
    <t>Comunal</t>
  </si>
  <si>
    <t>5 Conejos
Pollo
Perro
8 Chivo</t>
  </si>
  <si>
    <t>1 y 1.5</t>
  </si>
  <si>
    <t>Compró costal de 50 kg para terminar el año</t>
  </si>
  <si>
    <t>Monte Jerusalém</t>
  </si>
  <si>
    <t xml:space="preserve">Blanco
Azul
</t>
  </si>
  <si>
    <t>Perro
Gallina
Gatos
Marranos</t>
  </si>
  <si>
    <t>10 kg a la semana</t>
  </si>
  <si>
    <t>Blanco</t>
  </si>
  <si>
    <t>Perro
Gallina</t>
  </si>
  <si>
    <t>50 kg cada mes</t>
  </si>
  <si>
    <t>Blanco
Azul</t>
  </si>
  <si>
    <t>Chivos
Borregos
Pollo</t>
  </si>
  <si>
    <t>150 kg</t>
  </si>
  <si>
    <t>Blanco
Pinto
Amarillo
Rosado/matizado</t>
  </si>
  <si>
    <t>Pollo
Perro
Borrego</t>
  </si>
  <si>
    <t>50kg cada mes</t>
  </si>
  <si>
    <t>Blanco
Amarillo</t>
  </si>
  <si>
    <t>Pollo</t>
  </si>
  <si>
    <t>50kg cada 3 semanas</t>
  </si>
  <si>
    <t>Blanco
Azul
Rojo 
Amarillo</t>
  </si>
  <si>
    <t>Haba
Frijol
Chilacayota
Nahuayote
Calabaza
Quelites</t>
  </si>
  <si>
    <t>Cochino
Burro
Gallina
Gato
Perro</t>
  </si>
  <si>
    <t>Pollos
Borregos</t>
  </si>
  <si>
    <t>6 bultos</t>
  </si>
  <si>
    <t>Borregos
Chivos
Pollo</t>
  </si>
  <si>
    <t>250 kg</t>
  </si>
  <si>
    <t>Totales</t>
  </si>
  <si>
    <t>Promedio tareas</t>
  </si>
  <si>
    <t>kg por mes</t>
  </si>
  <si>
    <t>kg por día por hogar</t>
  </si>
  <si>
    <t>kg por tarea por cosecha</t>
  </si>
  <si>
    <t>Promedio ha</t>
  </si>
  <si>
    <t>kg por día por persona</t>
  </si>
  <si>
    <t>Rendimiento promedio de producción (kg/tarea)</t>
  </si>
  <si>
    <t>Rendimiento promedio de producción (kg/ha)</t>
  </si>
  <si>
    <t>2. DATOS DE LA UNIDAD REPRESENTATIVA DE PRODUCCIÓN (URP).</t>
  </si>
  <si>
    <t>Representativo en la región</t>
  </si>
  <si>
    <t>Composición familiar</t>
  </si>
  <si>
    <t>Meses</t>
  </si>
  <si>
    <t>Mayo-Enero</t>
  </si>
  <si>
    <t>Precio de venta ($/kg) criollo</t>
  </si>
  <si>
    <t>Número de integrantes</t>
  </si>
  <si>
    <t xml:space="preserve">Ciclo </t>
  </si>
  <si>
    <t>P-V</t>
  </si>
  <si>
    <t>Precio de bulto de maíz criollo (producción degranada)</t>
  </si>
  <si>
    <t>Actividades económicas principales</t>
  </si>
  <si>
    <t>Albañileria, campo (chapeo) en el norte (lo común), venta animales, leña, Corte de café y caña, construcción, corte de arándano, migración, transporte</t>
  </si>
  <si>
    <t>Extensión de URP (tareas)</t>
  </si>
  <si>
    <t>Precio de venta ($/kg) híbrido baja calidad</t>
  </si>
  <si>
    <t>Producción  (bultos/tarea)</t>
  </si>
  <si>
    <t>Precio de venta ($/kg) híbrido alta calidad</t>
  </si>
  <si>
    <t>Rendimiento (kg/tarea)</t>
  </si>
  <si>
    <t>Precio de bulto de maíz híbrio en tienda</t>
  </si>
  <si>
    <t>Producción desgranada por URP (kg)</t>
  </si>
  <si>
    <t>kg/ha</t>
  </si>
  <si>
    <t>Precio de la semilla para siembra ($/kg)</t>
  </si>
  <si>
    <t>Meses de duración de autoconsumo</t>
  </si>
  <si>
    <t>Cantidad de semilla para siembra (kg)</t>
  </si>
  <si>
    <t>Equivalencias de kg por litros de maíz</t>
  </si>
  <si>
    <t>kg</t>
  </si>
  <si>
    <t>lt</t>
  </si>
  <si>
    <t>Nixtamal</t>
  </si>
  <si>
    <t>Rinde (días)</t>
  </si>
  <si>
    <t>kg quebrado de pollos</t>
  </si>
  <si>
    <t>Tara</t>
  </si>
  <si>
    <t>Total</t>
  </si>
  <si>
    <t>Cubeta pequeña criollo</t>
  </si>
  <si>
    <t>Jícara criollo</t>
  </si>
  <si>
    <t>Jícara híbrido</t>
  </si>
  <si>
    <t>Diferencia</t>
  </si>
  <si>
    <t>5 pollos</t>
  </si>
  <si>
    <t>1 marrano</t>
  </si>
  <si>
    <t>Observaciones</t>
  </si>
  <si>
    <t>*De un bulto de mazorca obtienen ~ 25 kg de maíz desgranado. El precio de la semilla para sembrar es de $15 por kg. 
*El litro es la unidad de medida para el nixtamal (0.75 kg).
*Se aplica trueque (es sagrado). Se devuelve el triple (de maíz) de la próxima siembra. Es implícito ("ahí después") y es el mismo producto.
*Los participantes en el panel argumentan que el precio del maíz criollo está por encima del precio promedio de maíz híbrido que pueden comprar en la tienda de abasto rural.
*El maíz criollo es más sabroso, más suave, la tortilla más fresca más tiempo, no se agrio el nixtamal, no absorbe la cal del nixtamal, absorbe más agua y rinde más (rendimiento en el nixtamal)</t>
  </si>
  <si>
    <t>3. PARÁMETROS TÉCNICOS DE LA URP</t>
  </si>
  <si>
    <t>Concepto</t>
  </si>
  <si>
    <t>Descripción</t>
  </si>
  <si>
    <t>Cultivo</t>
  </si>
  <si>
    <t>Maíz</t>
  </si>
  <si>
    <t>Semilla</t>
  </si>
  <si>
    <t>Criolla local</t>
  </si>
  <si>
    <t>Fórmula de fertilización</t>
  </si>
  <si>
    <t>Animal
Químico(DAP)
Negro 18-46-0
Abono orgánico (ovinos)
UREA</t>
  </si>
  <si>
    <t>Rendimiento (ton/ha)</t>
  </si>
  <si>
    <t>Ciclo agrícola</t>
  </si>
  <si>
    <t>Tipo de suelo</t>
  </si>
  <si>
    <t>Polvillo</t>
  </si>
  <si>
    <t>Pocos nutrientes</t>
  </si>
  <si>
    <t>Pendiente del terreno</t>
  </si>
  <si>
    <t>&gt;10%</t>
  </si>
  <si>
    <t>Sistema de producción</t>
  </si>
  <si>
    <t>Convencional</t>
  </si>
  <si>
    <t>Mecanización</t>
  </si>
  <si>
    <t>Nula</t>
  </si>
  <si>
    <t>Tracción animal</t>
  </si>
  <si>
    <t>No</t>
  </si>
  <si>
    <t>Patrón de cultivos en la URP</t>
  </si>
  <si>
    <t>Tipos de maíz</t>
  </si>
  <si>
    <t>Tareas</t>
  </si>
  <si>
    <t>Superficie (ha)</t>
  </si>
  <si>
    <t>(%)</t>
  </si>
  <si>
    <t>Azul</t>
  </si>
  <si>
    <t>Morado</t>
  </si>
  <si>
    <t>Amarillo</t>
  </si>
  <si>
    <t>Rojo</t>
  </si>
  <si>
    <t>Pinto</t>
  </si>
  <si>
    <t>Obervaciones</t>
  </si>
  <si>
    <t>Marco de producción del sistema milpa</t>
  </si>
  <si>
    <t>Esquema de siembra de maíz</t>
  </si>
  <si>
    <t>Área por tarea (m2)</t>
  </si>
  <si>
    <t>Largo de surco (m)</t>
  </si>
  <si>
    <t>Distancia entre matas (m)</t>
  </si>
  <si>
    <t>Matas por surco</t>
  </si>
  <si>
    <t>Surcos por tareas</t>
  </si>
  <si>
    <t>Matas por tarea</t>
  </si>
  <si>
    <t>Plantas por tarea</t>
  </si>
  <si>
    <t>Superficie URP (tareas)</t>
  </si>
  <si>
    <t>Plantas por superficie de la URP</t>
  </si>
  <si>
    <t>Semillas por mata</t>
  </si>
  <si>
    <t>Esquema de siembra de cultivos asociados</t>
  </si>
  <si>
    <t>Por superficie URP</t>
  </si>
  <si>
    <t>costo de semilla (kg) para venta</t>
  </si>
  <si>
    <t>Se vende la semilla ninguna se compra, en la cosecha se producen semillas (kg)</t>
  </si>
  <si>
    <t>Autoconsumo en verde</t>
  </si>
  <si>
    <t>seco</t>
  </si>
  <si>
    <t>Semillas de frijol delgado por mata se come tierno y seco</t>
  </si>
  <si>
    <t>cada mata</t>
  </si>
  <si>
    <t xml:space="preserve">500gr </t>
  </si>
  <si>
    <t>4kg</t>
  </si>
  <si>
    <t>4kg a la semana por 2 meses. Si se comprara $15 el kg</t>
  </si>
  <si>
    <t>octubre noviembre comb</t>
  </si>
  <si>
    <t>Frijol gordo lama molcoyote Hualcoyote</t>
  </si>
  <si>
    <t>cada 3 matas</t>
  </si>
  <si>
    <t>2 kg</t>
  </si>
  <si>
    <t>15kg</t>
  </si>
  <si>
    <t>Diciembre-enero</t>
  </si>
  <si>
    <t>Frijol gordo evapa se come tierno y seco</t>
  </si>
  <si>
    <t>cada 5 matas (metros)</t>
  </si>
  <si>
    <t>1.5kg</t>
  </si>
  <si>
    <t>5kg</t>
  </si>
  <si>
    <t>Chilacayota</t>
  </si>
  <si>
    <t>cada 5 metros</t>
  </si>
  <si>
    <t>500-800gr</t>
  </si>
  <si>
    <t>12kg</t>
  </si>
  <si>
    <t>500 piezas</t>
  </si>
  <si>
    <t>Navayote</t>
  </si>
  <si>
    <t>cada 4 metros alternada con chilacayota</t>
  </si>
  <si>
    <t>200 piezas</t>
  </si>
  <si>
    <t>Semillas de haba por mata tierno y seco</t>
  </si>
  <si>
    <t>2kg</t>
  </si>
  <si>
    <t>Autoconsumo</t>
  </si>
  <si>
    <t>Costo</t>
  </si>
  <si>
    <t>Elotes</t>
  </si>
  <si>
    <t>300 piezas</t>
  </si>
  <si>
    <t>10 la pieza</t>
  </si>
  <si>
    <t>docena $30</t>
  </si>
  <si>
    <t>*$50 una chilacayota seca, $30 en tierno. Todo se autocnsume. 20 piezas se consumen en tierno en atole o en comida; 5 piezas en madura se consume en atoles, el resto es para semilla
*Navayote: Se autoconsumen 100, 40 para semilla de siembra y 60 regalo-autoconsumo
*Haba: $40 el kg. Precio de venta_15kg se cosechan, 10 se venden y 5 se consume</t>
  </si>
  <si>
    <t>4. ACTIVOS DE LA EMPRESA</t>
  </si>
  <si>
    <t>4.1 Activos fijos</t>
  </si>
  <si>
    <t>4.1.1. Superficie de la unidad de producción (tareas)</t>
  </si>
  <si>
    <t>Agrícola</t>
  </si>
  <si>
    <t>Bosque (Monte)</t>
  </si>
  <si>
    <t>Total de tareas</t>
  </si>
  <si>
    <t>Total de hectáreas</t>
  </si>
  <si>
    <t>4.1.2. Valor de las propiedades</t>
  </si>
  <si>
    <t>Tipo de propiedad</t>
  </si>
  <si>
    <t>Costo unitario por URP</t>
  </si>
  <si>
    <t>Proporción para la URP</t>
  </si>
  <si>
    <t>Valor total proporcional al terreno ($)</t>
  </si>
  <si>
    <t>Por hectárea</t>
  </si>
  <si>
    <t>Terreno con pino a 1hra de la carretera</t>
  </si>
  <si>
    <t>Valor total</t>
  </si>
  <si>
    <t>Observación</t>
  </si>
  <si>
    <t>*En caso de que se llegue a rentar el terreno, se paga una renta de $2,800 por 3 tareas, (2,000 por 5 tareas). Renta de 10 tareas $150 por tarea</t>
  </si>
  <si>
    <t>4.2. Otros activos de la empresa</t>
  </si>
  <si>
    <t>4.2.1. Activos de la empresa</t>
  </si>
  <si>
    <t>Cantidad</t>
  </si>
  <si>
    <t>Costo unitario</t>
  </si>
  <si>
    <t>Años de vida util</t>
  </si>
  <si>
    <t>% depreciación anual</t>
  </si>
  <si>
    <t>Depreciación anual ($)</t>
  </si>
  <si>
    <t>Proporción para la producción de maíz</t>
  </si>
  <si>
    <t>Depreciación anual para la producción maíz</t>
  </si>
  <si>
    <t>Construcciones</t>
  </si>
  <si>
    <t>Equipo y herramientas</t>
  </si>
  <si>
    <t>Mochila aspersora</t>
  </si>
  <si>
    <t>Machetes</t>
  </si>
  <si>
    <t>Azadón</t>
  </si>
  <si>
    <t>Tlalacho (tipo pico)</t>
  </si>
  <si>
    <t>Cavador</t>
  </si>
  <si>
    <t>Morrales (de armadillo)</t>
  </si>
  <si>
    <t>Costales (purina)</t>
  </si>
  <si>
    <t>Depreciación activos</t>
  </si>
  <si>
    <t>5. COSTOS DE OPERACIÓN</t>
  </si>
  <si>
    <t>5.1. Herramienta</t>
  </si>
  <si>
    <t>5.1.1. Costo anual herramienta</t>
  </si>
  <si>
    <t>Unidad</t>
  </si>
  <si>
    <t>Costo Unitario</t>
  </si>
  <si>
    <t>Lima</t>
  </si>
  <si>
    <t>Pieza</t>
  </si>
  <si>
    <t>Costo anual</t>
  </si>
  <si>
    <t>5.2. Insumos</t>
  </si>
  <si>
    <t>5.2.1. Semillas, fertilizantes y pesticidas</t>
  </si>
  <si>
    <t>Insumo</t>
  </si>
  <si>
    <t>10 tareas</t>
  </si>
  <si>
    <t>Costo Total</t>
  </si>
  <si>
    <t>Ha</t>
  </si>
  <si>
    <t>Semilla de cultivos asociados</t>
  </si>
  <si>
    <t>Fertilizantes químicos</t>
  </si>
  <si>
    <t>Urea 46-0-0</t>
  </si>
  <si>
    <t>Bulto</t>
  </si>
  <si>
    <t>2 en la primera vuelta $900 ahora</t>
  </si>
  <si>
    <t>Mezcla 18-46-0</t>
  </si>
  <si>
    <t>Herbicidas</t>
  </si>
  <si>
    <t>NA</t>
  </si>
  <si>
    <t>Insecticidas</t>
  </si>
  <si>
    <t>Cal</t>
  </si>
  <si>
    <t>Ceniza</t>
  </si>
  <si>
    <t>Costo Anual</t>
  </si>
  <si>
    <t>*Respecto al insecticida, la ceniza la toman de sus fogones, por lo que no se le asigna un costo.
*Se aplican 2 bultos de Urea en la primera vuelta y 2 bultos en la segunda vuelta.
*El costo de la Urea se incrementó a $900 para el año 2022</t>
  </si>
  <si>
    <t>5.3. Otros</t>
  </si>
  <si>
    <t>5.3.1. Otros costos fijos directos</t>
  </si>
  <si>
    <t>Renta de la tierra (tamaño de la URP)</t>
  </si>
  <si>
    <t>Arrendamiento</t>
  </si>
  <si>
    <t>Mantenimiento de caminos</t>
  </si>
  <si>
    <t>Jornal</t>
  </si>
  <si>
    <t>5.3.2. Otros costos fijos de la unidad de producción</t>
  </si>
  <si>
    <t>Costo anual para la producción maíz</t>
  </si>
  <si>
    <t>Predial</t>
  </si>
  <si>
    <t>Contribución fiscal</t>
  </si>
  <si>
    <t>5.3.3. Otros costos variables</t>
  </si>
  <si>
    <t>Traslado/flete de insumos/gasolina/etc.</t>
  </si>
  <si>
    <t>Servicio</t>
  </si>
  <si>
    <t>*Costos de transacción: compra de fertilizante en el centro de Tehuipango. Se paga flete de $10 por bulto en mixto y $10 por la persona. Viaje especial $80.</t>
  </si>
  <si>
    <t>5.4. Mano de obra</t>
  </si>
  <si>
    <t>5.4.1. Mano de obra directa</t>
  </si>
  <si>
    <t>Tipo</t>
  </si>
  <si>
    <t>Productor (gestión empresarial)</t>
  </si>
  <si>
    <t>Familiar</t>
  </si>
  <si>
    <t>Remunerada</t>
  </si>
  <si>
    <t>Mano de obra temporal</t>
  </si>
  <si>
    <t>Selección de semilla</t>
  </si>
  <si>
    <t>Siembra</t>
  </si>
  <si>
    <t>1ra limpia</t>
  </si>
  <si>
    <t>1a aplicación de fertilizantes</t>
  </si>
  <si>
    <t>2a aplicación de fertilizantes</t>
  </si>
  <si>
    <t>Cosecha</t>
  </si>
  <si>
    <t>Acarreo</t>
  </si>
  <si>
    <t>Almacenamiento</t>
  </si>
  <si>
    <t>Costo total anual</t>
  </si>
  <si>
    <t>*Económico</t>
  </si>
  <si>
    <t>Costo desembolsado</t>
  </si>
  <si>
    <t>*Desembolsado y financiero</t>
  </si>
  <si>
    <t>Costo anual mano de obra familiar</t>
  </si>
  <si>
    <t>Costo anual de la gestión empresarial</t>
  </si>
  <si>
    <t>Costo final de la gestión empresarial (considerado en costos económicos)</t>
  </si>
  <si>
    <t>Costos de la gestión empresarial</t>
  </si>
  <si>
    <t>*Se aplica mano-vuelta (tegomagopa=echar la mano)
*Por cuidar una parcela todo el año irían dos veces por semana durante 9 meses a $150 el jornal. Se ajusta a $4,000.00. No se considera para sistemas tradicionales
*Renta de 1 tarea para sembrar; yo siembro, cosecho y el zacate se le queda al patrón (vale aprox $1,500~$2,000 de 10 tareas)</t>
  </si>
  <si>
    <t>6. INGRESOS</t>
  </si>
  <si>
    <t>6.1. Escenario de precios y rendimiento</t>
  </si>
  <si>
    <t>Precio por unidad de medida</t>
  </si>
  <si>
    <t>Rendimiento bultos/kg/pza/rollos por 10 tareas</t>
  </si>
  <si>
    <t>Ingresos por actividad más probable</t>
  </si>
  <si>
    <t>Optimista</t>
  </si>
  <si>
    <t>Más probable</t>
  </si>
  <si>
    <t>Pesimista</t>
  </si>
  <si>
    <t>Maíz (por kg)</t>
  </si>
  <si>
    <t>Cultivos asociados</t>
  </si>
  <si>
    <t>Otros</t>
  </si>
  <si>
    <t>Ingresos del sistema milpa</t>
  </si>
  <si>
    <t>Ingresos de cultivos asociados y otros</t>
  </si>
  <si>
    <t>Porcentaje de ingresos de cultivos asociados y otros</t>
  </si>
  <si>
    <t>Se siembra en mayo y se cosecha en enero, en julio se pone caro el maíz y aprovechan para venderlo. $9 de la tienda kg, y $17, semilla $100 kg</t>
  </si>
  <si>
    <t>Costo del capital</t>
  </si>
  <si>
    <t>Abril 2021</t>
  </si>
  <si>
    <t>Mayo 2021</t>
  </si>
  <si>
    <t>COSTO DE CAPITAL</t>
  </si>
  <si>
    <t>General</t>
  </si>
  <si>
    <t>Inflación (%)</t>
  </si>
  <si>
    <t>No subyacente</t>
  </si>
  <si>
    <t>INPC</t>
  </si>
  <si>
    <t>Diciembre</t>
  </si>
  <si>
    <t>Enero</t>
  </si>
  <si>
    <t>Febrero</t>
  </si>
  <si>
    <t>Promedio</t>
  </si>
  <si>
    <t>Inflación de diciembre 2020 a febrero 2021</t>
  </si>
  <si>
    <t>Tasa de interés crédito refaccionario (%)</t>
  </si>
  <si>
    <t>Agropecuarios</t>
  </si>
  <si>
    <t>Tasa de interés crédito de avio (%)</t>
  </si>
  <si>
    <t>Insumos agropecuarios</t>
  </si>
  <si>
    <t>Tasa de interés real (%)</t>
  </si>
  <si>
    <t>Tierra</t>
  </si>
  <si>
    <t>Costo de renta en el mercado*</t>
  </si>
  <si>
    <t>Renta de la tierra (Rt)</t>
  </si>
  <si>
    <t>Renta de la tierra</t>
  </si>
  <si>
    <t>Mejoras extraordinarias</t>
  </si>
  <si>
    <t>Tasa de interés real en la economía**</t>
  </si>
  <si>
    <t>Interés refaccionario (Ir)</t>
  </si>
  <si>
    <t>Mejoras ordinarias</t>
  </si>
  <si>
    <t>Capital de Explotación fijo</t>
  </si>
  <si>
    <t>Capital de Explotación circulante</t>
  </si>
  <si>
    <t>Interés avío (Ia)</t>
  </si>
  <si>
    <t>Capital de trabajo</t>
  </si>
  <si>
    <t>Monto</t>
  </si>
  <si>
    <t xml:space="preserve">Insumos </t>
  </si>
  <si>
    <t>Mano de obra contratada</t>
  </si>
  <si>
    <t>Costos de transacción (fletes)</t>
  </si>
  <si>
    <t>Mantenimiento construcciones e instalaciones</t>
  </si>
  <si>
    <t>Herramientas</t>
  </si>
  <si>
    <t>Mensual</t>
  </si>
  <si>
    <t xml:space="preserve">Total </t>
  </si>
  <si>
    <t>Tasa de descuento</t>
  </si>
  <si>
    <t>Subtotal con tasa de descuento</t>
  </si>
  <si>
    <t>PRESUPUESTOS POR URP</t>
  </si>
  <si>
    <t>PRESUPUESTOS POR HECTÁREA</t>
  </si>
  <si>
    <t>CALCULO DE COSTOS DE PRODUCCION DE LA EXPLOTACIÓN URP</t>
  </si>
  <si>
    <t>CALCULO DE COSTOS DE PRODUCCION DE LA EXPLOTACIÓN POR HECTÁREA</t>
  </si>
  <si>
    <t>Beneficios</t>
  </si>
  <si>
    <t>Desembolsados</t>
  </si>
  <si>
    <t>Financiero</t>
  </si>
  <si>
    <t>Económico</t>
  </si>
  <si>
    <t>Beneficios del maíz (autoconsumo)</t>
  </si>
  <si>
    <t>Beneficios de subproductos (autoconsumo)</t>
  </si>
  <si>
    <t>Subsidios para el sistema</t>
  </si>
  <si>
    <t>Beneficios totales</t>
  </si>
  <si>
    <t>Costos de operación</t>
  </si>
  <si>
    <t>Contribuciones fiscales</t>
  </si>
  <si>
    <t>Subtotal costos de operación</t>
  </si>
  <si>
    <t>Costos generales</t>
  </si>
  <si>
    <t>Depreciación construcciones e instalaciones</t>
  </si>
  <si>
    <t>Subtotal costos generales</t>
  </si>
  <si>
    <t>Costos de oportunidad</t>
  </si>
  <si>
    <t>Tierra (renta)</t>
  </si>
  <si>
    <t>Capital invertido en la unidad de producción</t>
  </si>
  <si>
    <t>Costo oportunidad mano de obra del productor/familiar</t>
  </si>
  <si>
    <t>Costo oportunidad Gestión empresarial</t>
  </si>
  <si>
    <t>Subtotal costos de oportunidad</t>
  </si>
  <si>
    <t>Costos totales</t>
  </si>
  <si>
    <t>Beneficios netos</t>
  </si>
  <si>
    <t>Desembolsado</t>
  </si>
  <si>
    <t>Costo total</t>
  </si>
  <si>
    <t>Beneficio neto por URP</t>
  </si>
  <si>
    <t>Beneficio neto por Ha</t>
  </si>
  <si>
    <t>Corto plazo</t>
  </si>
  <si>
    <t>Mediano plazo</t>
  </si>
  <si>
    <t>Largo plazo</t>
  </si>
  <si>
    <t>Precio de equilibrio por kg</t>
  </si>
  <si>
    <t>Beneficios netos sin fertilizantes químicos ni herbicidas</t>
  </si>
  <si>
    <t>Beneficio total</t>
  </si>
  <si>
    <t>Fertilizantes, herbicidas e insecticidas</t>
  </si>
  <si>
    <t>Contribución de los beneficios por subproductos en el sistema</t>
  </si>
  <si>
    <t>Beneficios del sistema milpa</t>
  </si>
  <si>
    <t>Beneficios de cultivos asociados y otros</t>
  </si>
  <si>
    <t>Porcentaje de beneficios de cultivos asociados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</si>
</sst>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"/>
    <numFmt numFmtId="165" formatCode="0.000"/>
    <numFmt numFmtId="166" formatCode="0.0%"/>
    <numFmt numFmtId="167" formatCode="&quot;$&quot;#,##0"/>
    <numFmt numFmtId="168" formatCode="_-* #,##0\ _€_-;\-* #,##0\ _€_-;_-* &quot;-&quot;??\ _€_-;_-@_-"/>
    <numFmt numFmtId="169" formatCode="_-* #,##0_-;\-* #,##0_-;_-* &quot;-&quot;??_-;_-@_-"/>
    <numFmt numFmtId="170" formatCode="_-* #,##0.00\ _€_-;\-* #,##0.00\ _€_-;_-* &quot;-&quot;??\ _€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6100"/>
      <name val="Calibri"/>
      <family val="2"/>
      <scheme val="minor"/>
    </font>
    <font>
      <b/>
      <sz val="11"/>
      <name val="Arial"/>
      <family val="2"/>
    </font>
    <font>
      <b/>
      <sz val="11"/>
      <color rgb="FF006100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8"/>
      <color theme="1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b/>
      <sz val="9"/>
      <color rgb="FF000000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9B5E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670A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0" borderId="0"/>
    <xf numFmtId="43" fontId="1" fillId="0" borderId="0" applyFont="0" applyFill="0" applyBorder="0" applyAlignment="0" applyProtection="0"/>
    <xf numFmtId="0" fontId="15" fillId="0" borderId="0"/>
    <xf numFmtId="170" fontId="15" fillId="0" borderId="0" applyFont="0" applyFill="0" applyBorder="0" applyAlignment="0" applyProtection="0"/>
  </cellStyleXfs>
  <cellXfs count="499">
    <xf numFmtId="0" fontId="0" fillId="0" borderId="0" xfId="0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5" xfId="0" applyFont="1" applyBorder="1"/>
    <xf numFmtId="0" fontId="5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5" fillId="0" borderId="8" xfId="0" applyFont="1" applyBorder="1" applyAlignment="1">
      <alignment horizontal="center" vertical="center" wrapText="1"/>
    </xf>
    <xf numFmtId="0" fontId="4" fillId="0" borderId="9" xfId="0" applyFont="1" applyBorder="1"/>
    <xf numFmtId="0" fontId="5" fillId="4" borderId="10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5" borderId="13" xfId="0" applyFont="1" applyFill="1" applyBorder="1" applyAlignment="1">
      <alignment horizontal="right" vertical="center"/>
    </xf>
    <xf numFmtId="0" fontId="4" fillId="5" borderId="14" xfId="0" applyFont="1" applyFill="1" applyBorder="1" applyAlignment="1">
      <alignment horizontal="right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5" borderId="16" xfId="0" applyFont="1" applyFill="1" applyBorder="1" applyAlignment="1">
      <alignment horizontal="right" vertical="center"/>
    </xf>
    <xf numFmtId="0" fontId="4" fillId="5" borderId="17" xfId="0" applyFont="1" applyFill="1" applyBorder="1" applyAlignment="1">
      <alignment horizontal="right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" fillId="5" borderId="19" xfId="0" applyFont="1" applyFill="1" applyBorder="1" applyAlignment="1">
      <alignment horizontal="right" vertical="center"/>
    </xf>
    <xf numFmtId="0" fontId="4" fillId="5" borderId="20" xfId="0" applyFont="1" applyFill="1" applyBorder="1" applyAlignment="1">
      <alignment horizontal="right" vertical="center"/>
    </xf>
    <xf numFmtId="14" fontId="5" fillId="0" borderId="17" xfId="0" applyNumberFormat="1" applyFont="1" applyBorder="1" applyAlignment="1">
      <alignment horizontal="center" vertical="center"/>
    </xf>
    <xf numFmtId="14" fontId="5" fillId="0" borderId="18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right" vertical="center" indent="1"/>
    </xf>
    <xf numFmtId="0" fontId="4" fillId="5" borderId="20" xfId="0" applyFont="1" applyFill="1" applyBorder="1" applyAlignment="1">
      <alignment horizontal="right" vertical="center" indent="1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5" borderId="21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6" fillId="4" borderId="13" xfId="6" applyFont="1" applyFill="1" applyBorder="1" applyAlignment="1">
      <alignment horizontal="center" vertical="center" wrapText="1"/>
    </xf>
    <xf numFmtId="0" fontId="6" fillId="4" borderId="25" xfId="6" applyFont="1" applyFill="1" applyBorder="1" applyAlignment="1">
      <alignment horizontal="center" vertical="center" wrapText="1"/>
    </xf>
    <xf numFmtId="0" fontId="6" fillId="4" borderId="26" xfId="6" applyFont="1" applyFill="1" applyBorder="1" applyAlignment="1">
      <alignment horizontal="center" vertical="center" wrapText="1"/>
    </xf>
    <xf numFmtId="0" fontId="6" fillId="4" borderId="17" xfId="6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6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/>
    </xf>
    <xf numFmtId="0" fontId="6" fillId="8" borderId="27" xfId="0" applyFont="1" applyFill="1" applyBorder="1"/>
    <xf numFmtId="0" fontId="6" fillId="8" borderId="28" xfId="0" applyFont="1" applyFill="1" applyBorder="1" applyAlignment="1">
      <alignment horizontal="center"/>
    </xf>
    <xf numFmtId="164" fontId="6" fillId="8" borderId="28" xfId="0" applyNumberFormat="1" applyFont="1" applyFill="1" applyBorder="1" applyAlignment="1">
      <alignment horizontal="center"/>
    </xf>
    <xf numFmtId="164" fontId="6" fillId="8" borderId="29" xfId="0" applyNumberFormat="1" applyFont="1" applyFill="1" applyBorder="1" applyAlignment="1">
      <alignment horizontal="center"/>
    </xf>
    <xf numFmtId="1" fontId="6" fillId="8" borderId="29" xfId="0" applyNumberFormat="1" applyFont="1" applyFill="1" applyBorder="1" applyAlignment="1">
      <alignment horizontal="center"/>
    </xf>
    <xf numFmtId="2" fontId="6" fillId="8" borderId="28" xfId="0" applyNumberFormat="1" applyFont="1" applyFill="1" applyBorder="1" applyAlignment="1">
      <alignment horizontal="center"/>
    </xf>
    <xf numFmtId="4" fontId="6" fillId="8" borderId="28" xfId="0" applyNumberFormat="1" applyFont="1" applyFill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164" fontId="6" fillId="9" borderId="17" xfId="0" applyNumberFormat="1" applyFont="1" applyFill="1" applyBorder="1" applyAlignment="1">
      <alignment horizontal="center"/>
    </xf>
    <xf numFmtId="2" fontId="8" fillId="2" borderId="10" xfId="4" applyNumberFormat="1" applyFont="1" applyBorder="1"/>
    <xf numFmtId="0" fontId="8" fillId="2" borderId="12" xfId="4" applyFont="1" applyBorder="1"/>
    <xf numFmtId="0" fontId="7" fillId="0" borderId="6" xfId="0" applyFont="1" applyBorder="1"/>
    <xf numFmtId="0" fontId="8" fillId="2" borderId="12" xfId="4" applyFont="1" applyBorder="1" applyAlignment="1">
      <alignment horizontal="center" vertical="center" wrapText="1"/>
    </xf>
    <xf numFmtId="4" fontId="8" fillId="2" borderId="10" xfId="4" applyNumberFormat="1" applyFont="1" applyBorder="1"/>
    <xf numFmtId="0" fontId="7" fillId="0" borderId="0" xfId="0" applyFont="1" applyAlignment="1">
      <alignment horizontal="center"/>
    </xf>
    <xf numFmtId="4" fontId="7" fillId="0" borderId="0" xfId="0" applyNumberFormat="1" applyFont="1"/>
    <xf numFmtId="0" fontId="7" fillId="0" borderId="0" xfId="0" applyFont="1" applyAlignment="1">
      <alignment horizontal="center" vertical="center"/>
    </xf>
    <xf numFmtId="2" fontId="4" fillId="0" borderId="0" xfId="0" applyNumberFormat="1" applyFont="1"/>
    <xf numFmtId="0" fontId="9" fillId="10" borderId="2" xfId="4" applyFont="1" applyFill="1" applyBorder="1" applyAlignment="1">
      <alignment horizontal="left"/>
    </xf>
    <xf numFmtId="0" fontId="10" fillId="10" borderId="3" xfId="4" applyFont="1" applyFill="1" applyBorder="1" applyAlignment="1">
      <alignment horizontal="left"/>
    </xf>
    <xf numFmtId="0" fontId="10" fillId="10" borderId="4" xfId="4" applyFont="1" applyFill="1" applyBorder="1" applyAlignment="1">
      <alignment horizontal="left"/>
    </xf>
    <xf numFmtId="0" fontId="9" fillId="0" borderId="7" xfId="4" applyFont="1" applyFill="1" applyBorder="1" applyAlignment="1">
      <alignment horizontal="left"/>
    </xf>
    <xf numFmtId="0" fontId="10" fillId="0" borderId="8" xfId="4" applyFont="1" applyFill="1" applyBorder="1" applyAlignment="1">
      <alignment horizontal="left"/>
    </xf>
    <xf numFmtId="0" fontId="10" fillId="0" borderId="0" xfId="4" applyFont="1" applyFill="1" applyBorder="1" applyAlignment="1">
      <alignment horizontal="left"/>
    </xf>
    <xf numFmtId="0" fontId="10" fillId="0" borderId="6" xfId="4" applyFont="1" applyFill="1" applyBorder="1" applyAlignment="1">
      <alignment horizontal="left"/>
    </xf>
    <xf numFmtId="2" fontId="5" fillId="10" borderId="5" xfId="0" applyNumberFormat="1" applyFont="1" applyFill="1" applyBorder="1" applyAlignment="1">
      <alignment horizontal="center"/>
    </xf>
    <xf numFmtId="2" fontId="5" fillId="10" borderId="0" xfId="0" applyNumberFormat="1" applyFont="1" applyFill="1" applyAlignment="1">
      <alignment horizontal="center"/>
    </xf>
    <xf numFmtId="2" fontId="5" fillId="10" borderId="8" xfId="0" applyNumberFormat="1" applyFont="1" applyFill="1" applyBorder="1" applyAlignment="1">
      <alignment horizontal="center"/>
    </xf>
    <xf numFmtId="2" fontId="5" fillId="0" borderId="0" xfId="0" applyNumberFormat="1" applyFont="1"/>
    <xf numFmtId="0" fontId="5" fillId="10" borderId="30" xfId="0" applyFont="1" applyFill="1" applyBorder="1" applyAlignment="1">
      <alignment horizontal="center"/>
    </xf>
    <xf numFmtId="0" fontId="5" fillId="10" borderId="31" xfId="0" applyFont="1" applyFill="1" applyBorder="1" applyAlignment="1">
      <alignment horizontal="center"/>
    </xf>
    <xf numFmtId="0" fontId="5" fillId="10" borderId="32" xfId="0" applyFont="1" applyFill="1" applyBorder="1" applyAlignment="1">
      <alignment horizontal="center"/>
    </xf>
    <xf numFmtId="0" fontId="5" fillId="0" borderId="0" xfId="0" applyFont="1"/>
    <xf numFmtId="0" fontId="5" fillId="0" borderId="17" xfId="6" applyFont="1" applyBorder="1"/>
    <xf numFmtId="0" fontId="4" fillId="0" borderId="17" xfId="0" applyFont="1" applyBorder="1" applyAlignment="1">
      <alignment horizontal="center" vertical="center"/>
    </xf>
    <xf numFmtId="0" fontId="5" fillId="0" borderId="17" xfId="6" applyFont="1" applyBorder="1" applyAlignment="1">
      <alignment wrapText="1"/>
    </xf>
    <xf numFmtId="8" fontId="4" fillId="0" borderId="17" xfId="0" applyNumberFormat="1" applyFont="1" applyBorder="1" applyAlignment="1">
      <alignment horizontal="center" vertical="center"/>
    </xf>
    <xf numFmtId="2" fontId="4" fillId="0" borderId="17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0" borderId="17" xfId="6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7" xfId="6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/>
    </xf>
    <xf numFmtId="0" fontId="4" fillId="0" borderId="17" xfId="0" applyFont="1" applyBorder="1"/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5" fillId="0" borderId="17" xfId="0" applyFont="1" applyBorder="1" applyAlignment="1">
      <alignment horizontal="left" vertical="center" wrapText="1"/>
    </xf>
    <xf numFmtId="2" fontId="4" fillId="0" borderId="17" xfId="0" applyNumberFormat="1" applyFont="1" applyBorder="1" applyAlignment="1">
      <alignment horizontal="center" vertical="center"/>
    </xf>
    <xf numFmtId="0" fontId="5" fillId="0" borderId="0" xfId="6" applyFont="1" applyAlignment="1">
      <alignment wrapText="1"/>
    </xf>
    <xf numFmtId="8" fontId="4" fillId="0" borderId="0" xfId="0" applyNumberFormat="1" applyFont="1" applyAlignment="1">
      <alignment vertical="center"/>
    </xf>
    <xf numFmtId="0" fontId="5" fillId="0" borderId="17" xfId="0" applyFont="1" applyBorder="1"/>
    <xf numFmtId="0" fontId="4" fillId="0" borderId="17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2" fontId="4" fillId="0" borderId="17" xfId="0" applyNumberFormat="1" applyFont="1" applyBorder="1" applyAlignment="1">
      <alignment vertical="center"/>
    </xf>
    <xf numFmtId="165" fontId="5" fillId="0" borderId="17" xfId="0" applyNumberFormat="1" applyFont="1" applyBorder="1" applyAlignment="1">
      <alignment vertical="center"/>
    </xf>
    <xf numFmtId="2" fontId="4" fillId="0" borderId="17" xfId="0" applyNumberFormat="1" applyFont="1" applyBorder="1"/>
    <xf numFmtId="9" fontId="4" fillId="0" borderId="17" xfId="0" applyNumberFormat="1" applyFont="1" applyBorder="1"/>
    <xf numFmtId="0" fontId="4" fillId="11" borderId="33" xfId="0" applyFont="1" applyFill="1" applyBorder="1"/>
    <xf numFmtId="0" fontId="4" fillId="11" borderId="0" xfId="0" applyFont="1" applyFill="1"/>
    <xf numFmtId="0" fontId="4" fillId="11" borderId="34" xfId="0" applyFont="1" applyFill="1" applyBorder="1"/>
    <xf numFmtId="0" fontId="11" fillId="0" borderId="5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5" fillId="0" borderId="8" xfId="0" applyFont="1" applyBorder="1"/>
    <xf numFmtId="0" fontId="9" fillId="12" borderId="2" xfId="4" applyFont="1" applyFill="1" applyBorder="1" applyAlignment="1">
      <alignment horizontal="left"/>
    </xf>
    <xf numFmtId="0" fontId="10" fillId="12" borderId="3" xfId="4" applyFont="1" applyFill="1" applyBorder="1" applyAlignment="1">
      <alignment horizontal="left"/>
    </xf>
    <xf numFmtId="0" fontId="10" fillId="12" borderId="4" xfId="4" applyFont="1" applyFill="1" applyBorder="1" applyAlignment="1">
      <alignment horizontal="left"/>
    </xf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4" fillId="0" borderId="31" xfId="0" applyFont="1" applyBorder="1"/>
    <xf numFmtId="0" fontId="4" fillId="0" borderId="32" xfId="0" applyFont="1" applyBorder="1"/>
    <xf numFmtId="0" fontId="9" fillId="13" borderId="17" xfId="0" applyFont="1" applyFill="1" applyBorder="1" applyAlignment="1">
      <alignment horizontal="center" vertical="center"/>
    </xf>
    <xf numFmtId="0" fontId="9" fillId="13" borderId="35" xfId="0" applyFont="1" applyFill="1" applyBorder="1" applyAlignment="1">
      <alignment horizontal="center" vertical="center"/>
    </xf>
    <xf numFmtId="0" fontId="9" fillId="13" borderId="20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" fontId="4" fillId="0" borderId="35" xfId="0" applyNumberFormat="1" applyFont="1" applyBorder="1" applyAlignment="1">
      <alignment horizontal="center" vertical="center"/>
    </xf>
    <xf numFmtId="4" fontId="4" fillId="0" borderId="20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4" fillId="0" borderId="3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4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13" borderId="33" xfId="0" applyFont="1" applyFill="1" applyBorder="1"/>
    <xf numFmtId="0" fontId="4" fillId="13" borderId="0" xfId="0" applyFont="1" applyFill="1"/>
    <xf numFmtId="0" fontId="4" fillId="13" borderId="34" xfId="0" applyFont="1" applyFill="1" applyBorder="1"/>
    <xf numFmtId="0" fontId="11" fillId="0" borderId="30" xfId="0" applyFont="1" applyBorder="1" applyAlignment="1">
      <alignment horizontal="left" wrapText="1"/>
    </xf>
    <xf numFmtId="0" fontId="11" fillId="0" borderId="31" xfId="0" applyFont="1" applyBorder="1" applyAlignment="1">
      <alignment horizontal="left" wrapText="1"/>
    </xf>
    <xf numFmtId="0" fontId="11" fillId="0" borderId="32" xfId="0" applyFont="1" applyBorder="1" applyAlignment="1">
      <alignment horizontal="left" wrapText="1"/>
    </xf>
    <xf numFmtId="0" fontId="11" fillId="0" borderId="37" xfId="0" applyFont="1" applyBorder="1" applyAlignment="1">
      <alignment horizontal="left" wrapText="1"/>
    </xf>
    <xf numFmtId="0" fontId="11" fillId="0" borderId="38" xfId="0" applyFont="1" applyBorder="1" applyAlignment="1">
      <alignment horizontal="left" wrapText="1"/>
    </xf>
    <xf numFmtId="0" fontId="11" fillId="0" borderId="25" xfId="0" applyFont="1" applyBorder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5" fillId="13" borderId="7" xfId="6" applyFont="1" applyFill="1" applyBorder="1" applyAlignment="1">
      <alignment horizontal="center"/>
    </xf>
    <xf numFmtId="0" fontId="12" fillId="13" borderId="8" xfId="6" applyFont="1" applyFill="1" applyBorder="1" applyAlignment="1">
      <alignment horizontal="center"/>
    </xf>
    <xf numFmtId="0" fontId="5" fillId="0" borderId="2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/>
    </xf>
    <xf numFmtId="0" fontId="4" fillId="0" borderId="13" xfId="6" applyFont="1" applyBorder="1" applyAlignment="1">
      <alignment wrapText="1"/>
    </xf>
    <xf numFmtId="43" fontId="4" fillId="0" borderId="14" xfId="1" applyFont="1" applyFill="1" applyBorder="1" applyAlignment="1">
      <alignment horizontal="center" wrapText="1"/>
    </xf>
    <xf numFmtId="166" fontId="4" fillId="0" borderId="15" xfId="3" applyNumberFormat="1" applyFont="1" applyFill="1" applyBorder="1" applyAlignment="1">
      <alignment horizontal="center" wrapText="1"/>
    </xf>
    <xf numFmtId="0" fontId="4" fillId="0" borderId="16" xfId="6" applyFont="1" applyBorder="1" applyAlignment="1">
      <alignment wrapText="1"/>
    </xf>
    <xf numFmtId="0" fontId="5" fillId="13" borderId="17" xfId="6" applyFont="1" applyFill="1" applyBorder="1" applyAlignment="1">
      <alignment wrapText="1"/>
    </xf>
    <xf numFmtId="43" fontId="5" fillId="13" borderId="17" xfId="1" applyFont="1" applyFill="1" applyBorder="1" applyAlignment="1">
      <alignment horizontal="center" wrapText="1"/>
    </xf>
    <xf numFmtId="166" fontId="5" fillId="13" borderId="17" xfId="3" applyNumberFormat="1" applyFont="1" applyFill="1" applyBorder="1" applyAlignment="1">
      <alignment horizontal="center" wrapText="1"/>
    </xf>
    <xf numFmtId="0" fontId="11" fillId="0" borderId="17" xfId="0" applyFont="1" applyBorder="1" applyAlignment="1">
      <alignment horizontal="left" wrapText="1"/>
    </xf>
    <xf numFmtId="0" fontId="11" fillId="0" borderId="0" xfId="0" applyFont="1" applyAlignment="1">
      <alignment wrapText="1"/>
    </xf>
    <xf numFmtId="0" fontId="5" fillId="13" borderId="5" xfId="6" applyFont="1" applyFill="1" applyBorder="1" applyAlignment="1">
      <alignment horizontal="center"/>
    </xf>
    <xf numFmtId="0" fontId="5" fillId="13" borderId="0" xfId="6" applyFont="1" applyFill="1" applyAlignment="1">
      <alignment horizontal="center"/>
    </xf>
    <xf numFmtId="0" fontId="5" fillId="0" borderId="38" xfId="0" applyFont="1" applyBorder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4" fontId="4" fillId="0" borderId="17" xfId="0" applyNumberFormat="1" applyFont="1" applyBorder="1" applyAlignment="1">
      <alignment horizontal="center" vertical="center"/>
    </xf>
    <xf numFmtId="0" fontId="5" fillId="0" borderId="35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9" fontId="5" fillId="0" borderId="17" xfId="0" applyNumberFormat="1" applyFont="1" applyBorder="1" applyAlignment="1">
      <alignment horizontal="center" vertical="center"/>
    </xf>
    <xf numFmtId="4" fontId="4" fillId="0" borderId="17" xfId="0" applyNumberFormat="1" applyFont="1" applyBorder="1" applyAlignment="1">
      <alignment horizontal="center" vertical="center" wrapText="1"/>
    </xf>
    <xf numFmtId="8" fontId="5" fillId="0" borderId="17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4" fontId="4" fillId="0" borderId="0" xfId="0" applyNumberFormat="1" applyFont="1" applyAlignment="1">
      <alignment horizontal="center" vertical="center" wrapText="1"/>
    </xf>
    <xf numFmtId="8" fontId="5" fillId="0" borderId="0" xfId="0" applyNumberFormat="1" applyFont="1" applyAlignment="1">
      <alignment horizontal="center" vertical="center" wrapText="1"/>
    </xf>
    <xf numFmtId="0" fontId="4" fillId="12" borderId="33" xfId="0" applyFont="1" applyFill="1" applyBorder="1" applyAlignment="1">
      <alignment horizontal="left" vertical="center" wrapText="1"/>
    </xf>
    <xf numFmtId="8" fontId="4" fillId="0" borderId="0" xfId="0" applyNumberFormat="1" applyFont="1" applyAlignment="1">
      <alignment horizontal="left" vertical="center"/>
    </xf>
    <xf numFmtId="0" fontId="9" fillId="14" borderId="33" xfId="0" applyFont="1" applyFill="1" applyBorder="1" applyAlignment="1">
      <alignment horizontal="left" vertical="center"/>
    </xf>
    <xf numFmtId="0" fontId="9" fillId="14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left" vertical="center"/>
    </xf>
    <xf numFmtId="0" fontId="5" fillId="14" borderId="17" xfId="0" applyFont="1" applyFill="1" applyBorder="1" applyAlignment="1">
      <alignment horizontal="center" vertical="center"/>
    </xf>
    <xf numFmtId="0" fontId="5" fillId="14" borderId="17" xfId="0" applyFont="1" applyFill="1" applyBorder="1" applyAlignment="1">
      <alignment horizontal="center" vertical="center"/>
    </xf>
    <xf numFmtId="0" fontId="5" fillId="14" borderId="17" xfId="0" applyFont="1" applyFill="1" applyBorder="1" applyAlignment="1">
      <alignment horizontal="left" vertical="center" wrapText="1"/>
    </xf>
    <xf numFmtId="0" fontId="4" fillId="14" borderId="17" xfId="0" applyFont="1" applyFill="1" applyBorder="1" applyAlignment="1">
      <alignment horizontal="center" vertical="center" wrapText="1"/>
    </xf>
    <xf numFmtId="0" fontId="4" fillId="14" borderId="17" xfId="0" applyFont="1" applyFill="1" applyBorder="1" applyAlignment="1">
      <alignment horizontal="center" wrapText="1"/>
    </xf>
    <xf numFmtId="8" fontId="4" fillId="0" borderId="17" xfId="0" applyNumberFormat="1" applyFont="1" applyBorder="1" applyAlignment="1">
      <alignment horizontal="right" vertical="center"/>
    </xf>
    <xf numFmtId="9" fontId="4" fillId="0" borderId="17" xfId="3" applyFont="1" applyBorder="1"/>
    <xf numFmtId="8" fontId="4" fillId="0" borderId="17" xfId="0" applyNumberFormat="1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8" fontId="5" fillId="0" borderId="17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38" xfId="0" applyFont="1" applyBorder="1" applyAlignment="1">
      <alignment horizontal="center" vertical="center" wrapText="1"/>
    </xf>
    <xf numFmtId="0" fontId="9" fillId="15" borderId="35" xfId="0" applyFont="1" applyFill="1" applyBorder="1" applyAlignment="1">
      <alignment horizontal="left" vertical="center"/>
    </xf>
    <xf numFmtId="0" fontId="9" fillId="15" borderId="36" xfId="0" applyFont="1" applyFill="1" applyBorder="1" applyAlignment="1">
      <alignment horizontal="left" vertical="center"/>
    </xf>
    <xf numFmtId="0" fontId="5" fillId="15" borderId="36" xfId="0" applyFont="1" applyFill="1" applyBorder="1" applyAlignment="1">
      <alignment horizontal="left" vertical="center"/>
    </xf>
    <xf numFmtId="0" fontId="4" fillId="15" borderId="42" xfId="0" applyFont="1" applyFill="1" applyBorder="1" applyAlignment="1">
      <alignment horizontal="center" vertical="center" wrapText="1"/>
    </xf>
    <xf numFmtId="0" fontId="4" fillId="15" borderId="30" xfId="0" applyFont="1" applyFill="1" applyBorder="1" applyAlignment="1">
      <alignment horizontal="center" vertical="center" wrapText="1"/>
    </xf>
    <xf numFmtId="0" fontId="4" fillId="15" borderId="17" xfId="0" applyFont="1" applyFill="1" applyBorder="1" applyAlignment="1">
      <alignment horizontal="center" vertical="center"/>
    </xf>
    <xf numFmtId="0" fontId="4" fillId="15" borderId="17" xfId="0" applyFont="1" applyFill="1" applyBorder="1" applyAlignment="1">
      <alignment horizontal="center" vertical="center" wrapText="1"/>
    </xf>
    <xf numFmtId="0" fontId="4" fillId="15" borderId="42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/>
    </xf>
    <xf numFmtId="9" fontId="5" fillId="0" borderId="17" xfId="3" applyFont="1" applyBorder="1" applyAlignment="1">
      <alignment vertical="center"/>
    </xf>
    <xf numFmtId="8" fontId="5" fillId="0" borderId="17" xfId="0" applyNumberFormat="1" applyFont="1" applyBorder="1" applyAlignment="1">
      <alignment vertical="center"/>
    </xf>
    <xf numFmtId="0" fontId="5" fillId="7" borderId="17" xfId="0" applyFont="1" applyFill="1" applyBorder="1" applyAlignment="1">
      <alignment vertical="center"/>
    </xf>
    <xf numFmtId="0" fontId="4" fillId="0" borderId="17" xfId="0" applyFont="1" applyBorder="1" applyAlignment="1">
      <alignment horizontal="left" vertical="center" wrapText="1"/>
    </xf>
    <xf numFmtId="8" fontId="4" fillId="0" borderId="17" xfId="0" applyNumberFormat="1" applyFont="1" applyBorder="1" applyAlignment="1">
      <alignment vertical="center"/>
    </xf>
    <xf numFmtId="9" fontId="4" fillId="0" borderId="17" xfId="3" applyFont="1" applyBorder="1" applyAlignment="1">
      <alignment vertical="center"/>
    </xf>
    <xf numFmtId="9" fontId="4" fillId="7" borderId="17" xfId="0" applyNumberFormat="1" applyFont="1" applyFill="1" applyBorder="1" applyAlignment="1">
      <alignment vertical="center"/>
    </xf>
    <xf numFmtId="0" fontId="5" fillId="15" borderId="30" xfId="0" applyFont="1" applyFill="1" applyBorder="1" applyAlignment="1">
      <alignment horizontal="center" vertical="center"/>
    </xf>
    <xf numFmtId="0" fontId="5" fillId="15" borderId="31" xfId="0" applyFont="1" applyFill="1" applyBorder="1" applyAlignment="1">
      <alignment horizontal="center" vertical="center"/>
    </xf>
    <xf numFmtId="0" fontId="5" fillId="15" borderId="32" xfId="0" applyFont="1" applyFill="1" applyBorder="1" applyAlignment="1">
      <alignment horizontal="center" vertical="center"/>
    </xf>
    <xf numFmtId="8" fontId="5" fillId="15" borderId="17" xfId="0" applyNumberFormat="1" applyFont="1" applyFill="1" applyBorder="1" applyAlignment="1">
      <alignment vertical="center"/>
    </xf>
    <xf numFmtId="0" fontId="4" fillId="15" borderId="31" xfId="0" applyFont="1" applyFill="1" applyBorder="1" applyAlignment="1">
      <alignment vertical="center"/>
    </xf>
    <xf numFmtId="8" fontId="5" fillId="15" borderId="36" xfId="0" applyNumberFormat="1" applyFont="1" applyFill="1" applyBorder="1" applyAlignment="1">
      <alignment vertical="center"/>
    </xf>
    <xf numFmtId="0" fontId="5" fillId="16" borderId="33" xfId="0" applyFont="1" applyFill="1" applyBorder="1" applyAlignment="1">
      <alignment horizontal="left" vertical="center"/>
    </xf>
    <xf numFmtId="0" fontId="5" fillId="16" borderId="0" xfId="0" applyFont="1" applyFill="1" applyAlignment="1">
      <alignment horizontal="left" vertical="center"/>
    </xf>
    <xf numFmtId="0" fontId="9" fillId="16" borderId="35" xfId="0" applyFont="1" applyFill="1" applyBorder="1" applyAlignment="1">
      <alignment horizontal="left" vertical="center"/>
    </xf>
    <xf numFmtId="0" fontId="9" fillId="16" borderId="36" xfId="0" applyFont="1" applyFill="1" applyBorder="1" applyAlignment="1">
      <alignment horizontal="left" vertical="center"/>
    </xf>
    <xf numFmtId="0" fontId="9" fillId="16" borderId="20" xfId="0" applyFont="1" applyFill="1" applyBorder="1" applyAlignment="1">
      <alignment horizontal="left" vertical="center"/>
    </xf>
    <xf numFmtId="0" fontId="5" fillId="16" borderId="36" xfId="0" applyFont="1" applyFill="1" applyBorder="1" applyAlignment="1">
      <alignment horizontal="left" vertical="center"/>
    </xf>
    <xf numFmtId="0" fontId="5" fillId="16" borderId="17" xfId="0" applyFont="1" applyFill="1" applyBorder="1" applyAlignment="1">
      <alignment horizontal="center" vertical="center"/>
    </xf>
    <xf numFmtId="0" fontId="5" fillId="16" borderId="17" xfId="0" applyFont="1" applyFill="1" applyBorder="1" applyAlignment="1">
      <alignment horizontal="center" vertical="center"/>
    </xf>
    <xf numFmtId="8" fontId="5" fillId="16" borderId="17" xfId="0" applyNumberFormat="1" applyFont="1" applyFill="1" applyBorder="1" applyAlignment="1">
      <alignment horizontal="center" vertical="center"/>
    </xf>
    <xf numFmtId="0" fontId="4" fillId="13" borderId="30" xfId="0" applyFont="1" applyFill="1" applyBorder="1" applyAlignment="1">
      <alignment vertical="center"/>
    </xf>
    <xf numFmtId="0" fontId="4" fillId="13" borderId="31" xfId="0" applyFont="1" applyFill="1" applyBorder="1" applyAlignment="1">
      <alignment vertical="center"/>
    </xf>
    <xf numFmtId="0" fontId="4" fillId="13" borderId="32" xfId="0" applyFont="1" applyFill="1" applyBorder="1" applyAlignment="1">
      <alignment vertical="center"/>
    </xf>
    <xf numFmtId="0" fontId="5" fillId="13" borderId="35" xfId="0" applyFont="1" applyFill="1" applyBorder="1" applyAlignment="1">
      <alignment horizontal="center" vertical="center"/>
    </xf>
    <xf numFmtId="0" fontId="5" fillId="13" borderId="36" xfId="0" applyFont="1" applyFill="1" applyBorder="1" applyAlignment="1">
      <alignment horizontal="center" vertical="center"/>
    </xf>
    <xf numFmtId="0" fontId="4" fillId="13" borderId="33" xfId="0" applyFont="1" applyFill="1" applyBorder="1" applyAlignment="1">
      <alignment vertical="center"/>
    </xf>
    <xf numFmtId="0" fontId="4" fillId="13" borderId="0" xfId="0" applyFont="1" applyFill="1" applyAlignment="1">
      <alignment vertical="center"/>
    </xf>
    <xf numFmtId="0" fontId="4" fillId="13" borderId="42" xfId="0" applyFont="1" applyFill="1" applyBorder="1" applyAlignment="1">
      <alignment horizontal="center" vertical="center"/>
    </xf>
    <xf numFmtId="0" fontId="4" fillId="13" borderId="31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26" xfId="0" applyFont="1" applyBorder="1" applyAlignment="1">
      <alignment horizontal="center" vertical="center"/>
    </xf>
    <xf numFmtId="8" fontId="5" fillId="0" borderId="26" xfId="0" applyNumberFormat="1" applyFont="1" applyBorder="1" applyAlignment="1">
      <alignment horizontal="center" vertical="center"/>
    </xf>
    <xf numFmtId="8" fontId="5" fillId="0" borderId="2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justify" vertical="center"/>
    </xf>
    <xf numFmtId="9" fontId="4" fillId="0" borderId="0" xfId="0" applyNumberFormat="1" applyFont="1" applyAlignment="1">
      <alignment horizontal="left" vertical="center"/>
    </xf>
    <xf numFmtId="0" fontId="4" fillId="0" borderId="43" xfId="0" applyFont="1" applyBorder="1" applyAlignment="1">
      <alignment vertical="center"/>
    </xf>
    <xf numFmtId="8" fontId="4" fillId="0" borderId="18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6" xfId="0" applyFont="1" applyBorder="1" applyAlignment="1">
      <alignment horizontal="center" vertical="center"/>
    </xf>
    <xf numFmtId="8" fontId="4" fillId="0" borderId="26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42" xfId="0" applyFont="1" applyBorder="1" applyAlignment="1">
      <alignment horizontal="center" vertical="center"/>
    </xf>
    <xf numFmtId="8" fontId="4" fillId="0" borderId="42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8" fontId="5" fillId="0" borderId="39" xfId="0" applyNumberFormat="1" applyFont="1" applyBorder="1" applyAlignment="1">
      <alignment horizontal="center" vertical="center"/>
    </xf>
    <xf numFmtId="8" fontId="5" fillId="0" borderId="4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8" fontId="4" fillId="0" borderId="28" xfId="0" applyNumberFormat="1" applyFont="1" applyBorder="1" applyAlignment="1">
      <alignment horizontal="center" vertical="center"/>
    </xf>
    <xf numFmtId="8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8" fontId="4" fillId="0" borderId="29" xfId="0" applyNumberFormat="1" applyFont="1" applyBorder="1" applyAlignment="1">
      <alignment horizontal="center" vertical="center"/>
    </xf>
    <xf numFmtId="8" fontId="4" fillId="0" borderId="9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8" fontId="4" fillId="0" borderId="39" xfId="0" applyNumberFormat="1" applyFont="1" applyBorder="1" applyAlignment="1">
      <alignment horizontal="center" vertical="center"/>
    </xf>
    <xf numFmtId="8" fontId="4" fillId="0" borderId="39" xfId="0" applyNumberFormat="1" applyFont="1" applyBorder="1" applyAlignment="1">
      <alignment vertical="center"/>
    </xf>
    <xf numFmtId="8" fontId="4" fillId="0" borderId="28" xfId="0" applyNumberFormat="1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8" fontId="5" fillId="0" borderId="38" xfId="0" applyNumberFormat="1" applyFont="1" applyBorder="1" applyAlignment="1">
      <alignment vertical="center"/>
    </xf>
    <xf numFmtId="8" fontId="5" fillId="0" borderId="14" xfId="0" applyNumberFormat="1" applyFont="1" applyBorder="1" applyAlignment="1">
      <alignment horizontal="center" vertical="center"/>
    </xf>
    <xf numFmtId="0" fontId="5" fillId="16" borderId="36" xfId="0" applyFont="1" applyFill="1" applyBorder="1" applyAlignment="1">
      <alignment horizontal="left"/>
    </xf>
    <xf numFmtId="0" fontId="5" fillId="16" borderId="35" xfId="0" applyFont="1" applyFill="1" applyBorder="1" applyAlignment="1">
      <alignment horizontal="center"/>
    </xf>
    <xf numFmtId="0" fontId="5" fillId="16" borderId="20" xfId="0" applyFont="1" applyFill="1" applyBorder="1" applyAlignment="1">
      <alignment horizontal="center"/>
    </xf>
    <xf numFmtId="0" fontId="5" fillId="16" borderId="3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left"/>
    </xf>
    <xf numFmtId="0" fontId="4" fillId="0" borderId="17" xfId="0" applyFont="1" applyBorder="1" applyAlignment="1">
      <alignment horizontal="center"/>
    </xf>
    <xf numFmtId="8" fontId="4" fillId="0" borderId="17" xfId="0" applyNumberFormat="1" applyFont="1" applyBorder="1"/>
    <xf numFmtId="0" fontId="5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8" fontId="5" fillId="0" borderId="17" xfId="0" applyNumberFormat="1" applyFont="1" applyBorder="1" applyAlignment="1">
      <alignment horizontal="center"/>
    </xf>
    <xf numFmtId="0" fontId="5" fillId="16" borderId="35" xfId="0" applyFont="1" applyFill="1" applyBorder="1" applyAlignment="1">
      <alignment horizontal="center" vertical="center"/>
    </xf>
    <xf numFmtId="0" fontId="5" fillId="16" borderId="20" xfId="0" applyFont="1" applyFill="1" applyBorder="1" applyAlignment="1">
      <alignment horizontal="center" vertical="center"/>
    </xf>
    <xf numFmtId="0" fontId="5" fillId="16" borderId="17" xfId="0" applyFont="1" applyFill="1" applyBorder="1" applyAlignment="1">
      <alignment horizontal="center" vertical="center" wrapText="1"/>
    </xf>
    <xf numFmtId="0" fontId="5" fillId="16" borderId="42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9" fontId="4" fillId="0" borderId="17" xfId="3" applyFont="1" applyBorder="1" applyAlignment="1">
      <alignment horizontal="center" vertical="center"/>
    </xf>
    <xf numFmtId="0" fontId="5" fillId="16" borderId="37" xfId="0" applyFont="1" applyFill="1" applyBorder="1" applyAlignment="1">
      <alignment horizontal="center"/>
    </xf>
    <xf numFmtId="0" fontId="5" fillId="16" borderId="38" xfId="0" applyFont="1" applyFill="1" applyBorder="1" applyAlignment="1">
      <alignment horizontal="center"/>
    </xf>
    <xf numFmtId="8" fontId="5" fillId="16" borderId="14" xfId="0" applyNumberFormat="1" applyFont="1" applyFill="1" applyBorder="1" applyAlignment="1">
      <alignment horizontal="center"/>
    </xf>
    <xf numFmtId="0" fontId="5" fillId="16" borderId="0" xfId="0" applyFont="1" applyFill="1" applyAlignment="1">
      <alignment horizontal="center"/>
    </xf>
    <xf numFmtId="8" fontId="5" fillId="16" borderId="17" xfId="0" applyNumberFormat="1" applyFont="1" applyFill="1" applyBorder="1" applyAlignment="1">
      <alignment horizontal="center"/>
    </xf>
    <xf numFmtId="0" fontId="5" fillId="16" borderId="0" xfId="0" applyFont="1" applyFill="1"/>
    <xf numFmtId="0" fontId="4" fillId="16" borderId="0" xfId="0" applyFont="1" applyFill="1"/>
    <xf numFmtId="0" fontId="4" fillId="0" borderId="33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4" fillId="0" borderId="28" xfId="0" applyFont="1" applyBorder="1" applyAlignment="1">
      <alignment horizontal="center"/>
    </xf>
    <xf numFmtId="8" fontId="4" fillId="0" borderId="0" xfId="0" applyNumberFormat="1" applyFont="1"/>
    <xf numFmtId="0" fontId="4" fillId="0" borderId="33" xfId="0" applyFont="1" applyBorder="1" applyAlignment="1">
      <alignment wrapText="1"/>
    </xf>
    <xf numFmtId="0" fontId="4" fillId="0" borderId="0" xfId="0" applyFont="1" applyAlignment="1">
      <alignment wrapText="1"/>
    </xf>
    <xf numFmtId="0" fontId="5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16" borderId="38" xfId="0" applyFont="1" applyFill="1" applyBorder="1" applyAlignment="1">
      <alignment horizontal="left" vertical="center"/>
    </xf>
    <xf numFmtId="0" fontId="15" fillId="13" borderId="17" xfId="0" applyFont="1" applyFill="1" applyBorder="1" applyAlignment="1">
      <alignment horizontal="center" vertical="center"/>
    </xf>
    <xf numFmtId="0" fontId="16" fillId="13" borderId="35" xfId="0" applyFont="1" applyFill="1" applyBorder="1" applyAlignment="1">
      <alignment horizontal="center" vertical="center" wrapText="1"/>
    </xf>
    <xf numFmtId="0" fontId="16" fillId="13" borderId="36" xfId="0" applyFont="1" applyFill="1" applyBorder="1" applyAlignment="1">
      <alignment horizontal="center" vertical="center" wrapText="1"/>
    </xf>
    <xf numFmtId="0" fontId="16" fillId="13" borderId="20" xfId="0" applyFont="1" applyFill="1" applyBorder="1" applyAlignment="1">
      <alignment horizontal="center" vertical="center" wrapText="1"/>
    </xf>
    <xf numFmtId="0" fontId="16" fillId="13" borderId="35" xfId="0" applyFont="1" applyFill="1" applyBorder="1" applyAlignment="1">
      <alignment horizontal="center" vertical="center"/>
    </xf>
    <xf numFmtId="0" fontId="16" fillId="13" borderId="36" xfId="0" applyFont="1" applyFill="1" applyBorder="1" applyAlignment="1">
      <alignment horizontal="center" vertical="center"/>
    </xf>
    <xf numFmtId="0" fontId="16" fillId="13" borderId="20" xfId="0" applyFont="1" applyFill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15" fillId="13" borderId="17" xfId="0" applyFont="1" applyFill="1" applyBorder="1" applyAlignment="1">
      <alignment horizontal="center" vertical="center" wrapText="1"/>
    </xf>
    <xf numFmtId="0" fontId="15" fillId="13" borderId="17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16" borderId="17" xfId="0" applyFont="1" applyFill="1" applyBorder="1" applyAlignment="1">
      <alignment horizontal="right" vertical="center"/>
    </xf>
    <xf numFmtId="8" fontId="5" fillId="16" borderId="17" xfId="0" applyNumberFormat="1" applyFont="1" applyFill="1" applyBorder="1" applyAlignment="1">
      <alignment vertical="center"/>
    </xf>
    <xf numFmtId="9" fontId="0" fillId="0" borderId="0" xfId="0" applyNumberFormat="1"/>
    <xf numFmtId="0" fontId="5" fillId="17" borderId="35" xfId="0" applyFont="1" applyFill="1" applyBorder="1" applyAlignment="1">
      <alignment horizontal="left" vertical="center"/>
    </xf>
    <xf numFmtId="0" fontId="5" fillId="17" borderId="36" xfId="0" applyFont="1" applyFill="1" applyBorder="1" applyAlignment="1">
      <alignment horizontal="left" vertical="center"/>
    </xf>
    <xf numFmtId="0" fontId="5" fillId="17" borderId="20" xfId="0" applyFont="1" applyFill="1" applyBorder="1" applyAlignment="1">
      <alignment horizontal="left" vertical="center"/>
    </xf>
    <xf numFmtId="0" fontId="5" fillId="17" borderId="0" xfId="0" applyFont="1" applyFill="1" applyAlignment="1">
      <alignment horizontal="left" vertical="center"/>
    </xf>
    <xf numFmtId="0" fontId="5" fillId="17" borderId="33" xfId="0" applyFont="1" applyFill="1" applyBorder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5" fillId="17" borderId="34" xfId="0" applyFont="1" applyFill="1" applyBorder="1" applyAlignment="1">
      <alignment horizontal="center" vertical="center"/>
    </xf>
    <xf numFmtId="0" fontId="5" fillId="17" borderId="35" xfId="0" applyFont="1" applyFill="1" applyBorder="1" applyAlignment="1">
      <alignment horizontal="center" vertical="center"/>
    </xf>
    <xf numFmtId="0" fontId="5" fillId="17" borderId="36" xfId="0" applyFont="1" applyFill="1" applyBorder="1" applyAlignment="1">
      <alignment horizontal="center" vertical="center"/>
    </xf>
    <xf numFmtId="0" fontId="5" fillId="17" borderId="20" xfId="0" applyFont="1" applyFill="1" applyBorder="1" applyAlignment="1">
      <alignment horizontal="center" vertical="center"/>
    </xf>
    <xf numFmtId="0" fontId="5" fillId="17" borderId="35" xfId="0" applyFont="1" applyFill="1" applyBorder="1" applyAlignment="1">
      <alignment horizontal="center" vertical="center" wrapText="1"/>
    </xf>
    <xf numFmtId="0" fontId="5" fillId="17" borderId="36" xfId="0" applyFont="1" applyFill="1" applyBorder="1" applyAlignment="1">
      <alignment horizontal="center" vertical="center" wrapText="1"/>
    </xf>
    <xf numFmtId="0" fontId="5" fillId="17" borderId="20" xfId="0" applyFont="1" applyFill="1" applyBorder="1" applyAlignment="1">
      <alignment horizontal="center" vertical="center" wrapText="1"/>
    </xf>
    <xf numFmtId="0" fontId="5" fillId="17" borderId="17" xfId="0" applyFont="1" applyFill="1" applyBorder="1" applyAlignment="1">
      <alignment horizontal="center" vertical="center" wrapText="1"/>
    </xf>
    <xf numFmtId="0" fontId="5" fillId="17" borderId="42" xfId="0" applyFont="1" applyFill="1" applyBorder="1" applyAlignment="1">
      <alignment horizontal="center" vertical="center" wrapText="1"/>
    </xf>
    <xf numFmtId="0" fontId="5" fillId="17" borderId="37" xfId="0" applyFont="1" applyFill="1" applyBorder="1" applyAlignment="1">
      <alignment horizontal="center" vertical="center"/>
    </xf>
    <xf numFmtId="0" fontId="5" fillId="17" borderId="38" xfId="0" applyFont="1" applyFill="1" applyBorder="1" applyAlignment="1">
      <alignment horizontal="center" vertical="center"/>
    </xf>
    <xf numFmtId="0" fontId="5" fillId="17" borderId="25" xfId="0" applyFont="1" applyFill="1" applyBorder="1" applyAlignment="1">
      <alignment horizontal="center" vertical="center"/>
    </xf>
    <xf numFmtId="0" fontId="5" fillId="17" borderId="17" xfId="0" applyFont="1" applyFill="1" applyBorder="1" applyAlignment="1">
      <alignment vertical="center"/>
    </xf>
    <xf numFmtId="0" fontId="5" fillId="17" borderId="17" xfId="0" applyFont="1" applyFill="1" applyBorder="1" applyAlignment="1">
      <alignment vertical="center" wrapText="1"/>
    </xf>
    <xf numFmtId="0" fontId="5" fillId="17" borderId="14" xfId="0" applyFont="1" applyFill="1" applyBorder="1" applyAlignment="1">
      <alignment horizontal="center" vertical="center" wrapText="1"/>
    </xf>
    <xf numFmtId="0" fontId="4" fillId="0" borderId="17" xfId="4" applyFont="1" applyFill="1" applyBorder="1" applyAlignment="1">
      <alignment horizontal="center" vertical="center"/>
    </xf>
    <xf numFmtId="8" fontId="4" fillId="0" borderId="17" xfId="0" applyNumberFormat="1" applyFont="1" applyBorder="1" applyAlignment="1">
      <alignment horizontal="left" vertical="center"/>
    </xf>
    <xf numFmtId="8" fontId="5" fillId="0" borderId="17" xfId="0" applyNumberFormat="1" applyFont="1" applyBorder="1" applyAlignment="1">
      <alignment horizontal="left" vertical="center"/>
    </xf>
    <xf numFmtId="9" fontId="4" fillId="0" borderId="0" xfId="0" applyNumberFormat="1" applyFont="1"/>
    <xf numFmtId="0" fontId="5" fillId="0" borderId="17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9" fillId="7" borderId="0" xfId="6" applyFont="1" applyFill="1" applyAlignment="1">
      <alignment horizontal="left" vertical="center" wrapText="1"/>
    </xf>
    <xf numFmtId="17" fontId="4" fillId="0" borderId="17" xfId="0" quotePrefix="1" applyNumberFormat="1" applyFont="1" applyBorder="1"/>
    <xf numFmtId="0" fontId="4" fillId="0" borderId="17" xfId="0" quotePrefix="1" applyFont="1" applyBorder="1"/>
    <xf numFmtId="0" fontId="12" fillId="18" borderId="44" xfId="6" applyFont="1" applyFill="1" applyBorder="1"/>
    <xf numFmtId="0" fontId="9" fillId="7" borderId="0" xfId="6" applyFont="1" applyFill="1" applyAlignment="1">
      <alignment horizontal="center" wrapText="1"/>
    </xf>
    <xf numFmtId="10" fontId="4" fillId="0" borderId="17" xfId="0" applyNumberFormat="1" applyFont="1" applyBorder="1" applyAlignment="1">
      <alignment horizontal="left"/>
    </xf>
    <xf numFmtId="0" fontId="17" fillId="7" borderId="17" xfId="6" applyFont="1" applyFill="1" applyBorder="1" applyAlignment="1">
      <alignment horizontal="left" vertical="center" wrapText="1"/>
    </xf>
    <xf numFmtId="10" fontId="17" fillId="19" borderId="35" xfId="6" applyNumberFormat="1" applyFont="1" applyFill="1" applyBorder="1" applyAlignment="1">
      <alignment horizontal="left" vertical="center" wrapText="1"/>
    </xf>
    <xf numFmtId="0" fontId="17" fillId="7" borderId="17" xfId="6" applyFont="1" applyFill="1" applyBorder="1" applyAlignment="1">
      <alignment horizontal="center" wrapText="1"/>
    </xf>
    <xf numFmtId="10" fontId="17" fillId="7" borderId="17" xfId="7" applyNumberFormat="1" applyFont="1" applyFill="1" applyBorder="1" applyAlignment="1">
      <alignment horizontal="left" wrapText="1"/>
    </xf>
    <xf numFmtId="10" fontId="17" fillId="7" borderId="35" xfId="7" applyNumberFormat="1" applyFont="1" applyFill="1" applyBorder="1" applyAlignment="1">
      <alignment horizontal="left" wrapText="1"/>
    </xf>
    <xf numFmtId="0" fontId="17" fillId="19" borderId="35" xfId="6" applyFont="1" applyFill="1" applyBorder="1" applyAlignment="1">
      <alignment horizontal="left" vertical="center" wrapText="1"/>
    </xf>
    <xf numFmtId="0" fontId="17" fillId="12" borderId="17" xfId="6" applyFont="1" applyFill="1" applyBorder="1" applyAlignment="1">
      <alignment horizontal="center" wrapText="1"/>
    </xf>
    <xf numFmtId="10" fontId="17" fillId="12" borderId="17" xfId="7" applyNumberFormat="1" applyFont="1" applyFill="1" applyBorder="1" applyAlignment="1">
      <alignment horizontal="left" wrapText="1"/>
    </xf>
    <xf numFmtId="10" fontId="17" fillId="12" borderId="35" xfId="7" applyNumberFormat="1" applyFont="1" applyFill="1" applyBorder="1" applyAlignment="1">
      <alignment horizontal="left" wrapText="1"/>
    </xf>
    <xf numFmtId="10" fontId="4" fillId="0" borderId="17" xfId="3" applyNumberFormat="1" applyFont="1" applyBorder="1"/>
    <xf numFmtId="0" fontId="17" fillId="19" borderId="17" xfId="6" applyFont="1" applyFill="1" applyBorder="1" applyAlignment="1">
      <alignment horizontal="left" vertical="center" wrapText="1"/>
    </xf>
    <xf numFmtId="167" fontId="17" fillId="7" borderId="0" xfId="6" applyNumberFormat="1" applyFont="1" applyFill="1" applyAlignment="1">
      <alignment vertical="center"/>
    </xf>
    <xf numFmtId="168" fontId="17" fillId="7" borderId="0" xfId="7" applyNumberFormat="1" applyFont="1" applyFill="1" applyBorder="1" applyAlignment="1">
      <alignment horizontal="center" wrapText="1"/>
    </xf>
    <xf numFmtId="10" fontId="17" fillId="19" borderId="17" xfId="6" applyNumberFormat="1" applyFont="1" applyFill="1" applyBorder="1" applyAlignment="1">
      <alignment horizontal="left" vertical="center" wrapText="1"/>
    </xf>
    <xf numFmtId="0" fontId="17" fillId="7" borderId="0" xfId="6" applyFont="1" applyFill="1" applyAlignment="1">
      <alignment horizont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8" fontId="17" fillId="19" borderId="17" xfId="6" applyNumberFormat="1" applyFont="1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45" xfId="0" applyFont="1" applyBorder="1" applyAlignment="1">
      <alignment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20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0" fontId="4" fillId="0" borderId="45" xfId="0" applyNumberFormat="1" applyFont="1" applyBorder="1" applyAlignment="1">
      <alignment horizontal="center" vertical="center"/>
    </xf>
    <xf numFmtId="10" fontId="4" fillId="0" borderId="47" xfId="0" applyNumberFormat="1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 wrapText="1"/>
    </xf>
    <xf numFmtId="166" fontId="4" fillId="0" borderId="47" xfId="3" applyNumberFormat="1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 wrapText="1"/>
    </xf>
    <xf numFmtId="0" fontId="4" fillId="19" borderId="17" xfId="0" applyFont="1" applyFill="1" applyBorder="1" applyAlignment="1">
      <alignment wrapText="1"/>
    </xf>
    <xf numFmtId="8" fontId="4" fillId="0" borderId="17" xfId="2" applyNumberFormat="1" applyFont="1" applyFill="1" applyBorder="1" applyAlignment="1">
      <alignment horizontal="center" vertical="center" wrapText="1"/>
    </xf>
    <xf numFmtId="0" fontId="5" fillId="21" borderId="17" xfId="0" applyFont="1" applyFill="1" applyBorder="1" applyAlignment="1">
      <alignment horizontal="right" vertical="center" wrapText="1"/>
    </xf>
    <xf numFmtId="8" fontId="5" fillId="0" borderId="17" xfId="2" applyNumberFormat="1" applyFont="1" applyFill="1" applyBorder="1" applyAlignment="1">
      <alignment horizontal="center" vertical="center" wrapText="1"/>
    </xf>
    <xf numFmtId="44" fontId="5" fillId="0" borderId="17" xfId="2" applyFont="1" applyFill="1" applyBorder="1" applyAlignment="1">
      <alignment horizontal="center" vertical="center" wrapText="1"/>
    </xf>
    <xf numFmtId="0" fontId="5" fillId="4" borderId="48" xfId="0" applyFont="1" applyFill="1" applyBorder="1" applyAlignment="1">
      <alignment horizontal="center" vertical="center" wrapText="1"/>
    </xf>
    <xf numFmtId="0" fontId="5" fillId="4" borderId="49" xfId="0" applyFont="1" applyFill="1" applyBorder="1" applyAlignment="1">
      <alignment horizontal="center" vertical="center" wrapText="1"/>
    </xf>
    <xf numFmtId="0" fontId="4" fillId="19" borderId="7" xfId="8" applyFont="1" applyFill="1" applyBorder="1"/>
    <xf numFmtId="44" fontId="17" fillId="22" borderId="8" xfId="2" applyFont="1" applyFill="1" applyBorder="1" applyAlignment="1">
      <alignment horizontal="center"/>
    </xf>
    <xf numFmtId="2" fontId="17" fillId="22" borderId="8" xfId="2" applyNumberFormat="1" applyFont="1" applyFill="1" applyBorder="1" applyAlignment="1">
      <alignment horizontal="center"/>
    </xf>
    <xf numFmtId="44" fontId="4" fillId="22" borderId="9" xfId="2" applyFont="1" applyFill="1" applyBorder="1" applyAlignment="1">
      <alignment horizontal="center"/>
    </xf>
    <xf numFmtId="0" fontId="5" fillId="21" borderId="47" xfId="8" applyFont="1" applyFill="1" applyBorder="1" applyAlignment="1">
      <alignment horizontal="right"/>
    </xf>
    <xf numFmtId="44" fontId="5" fillId="21" borderId="47" xfId="2" applyFont="1" applyFill="1" applyBorder="1" applyAlignment="1">
      <alignment horizontal="center"/>
    </xf>
    <xf numFmtId="44" fontId="5" fillId="21" borderId="12" xfId="2" applyFont="1" applyFill="1" applyBorder="1" applyAlignment="1">
      <alignment horizontal="center"/>
    </xf>
    <xf numFmtId="0" fontId="12" fillId="18" borderId="7" xfId="6" applyFont="1" applyFill="1" applyBorder="1" applyAlignment="1">
      <alignment horizontal="center"/>
    </xf>
    <xf numFmtId="0" fontId="12" fillId="18" borderId="8" xfId="6" applyFont="1" applyFill="1" applyBorder="1" applyAlignment="1">
      <alignment horizontal="center"/>
    </xf>
    <xf numFmtId="0" fontId="5" fillId="23" borderId="10" xfId="0" applyFont="1" applyFill="1" applyBorder="1" applyAlignment="1">
      <alignment horizontal="center"/>
    </xf>
    <xf numFmtId="0" fontId="5" fillId="23" borderId="11" xfId="0" applyFont="1" applyFill="1" applyBorder="1" applyAlignment="1">
      <alignment horizontal="center"/>
    </xf>
    <xf numFmtId="0" fontId="5" fillId="23" borderId="12" xfId="0" applyFont="1" applyFill="1" applyBorder="1" applyAlignment="1">
      <alignment horizontal="center"/>
    </xf>
    <xf numFmtId="0" fontId="9" fillId="4" borderId="48" xfId="8" applyFont="1" applyFill="1" applyBorder="1"/>
    <xf numFmtId="0" fontId="9" fillId="4" borderId="50" xfId="8" applyFont="1" applyFill="1" applyBorder="1" applyAlignment="1">
      <alignment horizontal="right"/>
    </xf>
    <xf numFmtId="0" fontId="9" fillId="4" borderId="51" xfId="8" applyFont="1" applyFill="1" applyBorder="1" applyAlignment="1">
      <alignment horizontal="right"/>
    </xf>
    <xf numFmtId="0" fontId="4" fillId="0" borderId="5" xfId="0" applyFont="1" applyBorder="1" applyAlignment="1">
      <alignment vertical="center" wrapText="1"/>
    </xf>
    <xf numFmtId="8" fontId="4" fillId="0" borderId="0" xfId="2" applyNumberFormat="1" applyFont="1" applyBorder="1" applyAlignment="1">
      <alignment horizontal="center" vertical="center"/>
    </xf>
    <xf numFmtId="8" fontId="4" fillId="0" borderId="6" xfId="2" applyNumberFormat="1" applyFont="1" applyBorder="1" applyAlignment="1">
      <alignment horizontal="center" vertical="center"/>
    </xf>
    <xf numFmtId="44" fontId="4" fillId="0" borderId="0" xfId="2" applyFont="1" applyBorder="1" applyAlignment="1">
      <alignment horizontal="center" vertical="center"/>
    </xf>
    <xf numFmtId="44" fontId="4" fillId="0" borderId="6" xfId="2" applyFont="1" applyBorder="1" applyAlignment="1">
      <alignment horizontal="center" vertical="center"/>
    </xf>
    <xf numFmtId="0" fontId="18" fillId="7" borderId="19" xfId="8" applyFont="1" applyFill="1" applyBorder="1" applyAlignment="1">
      <alignment vertical="center" wrapText="1"/>
    </xf>
    <xf numFmtId="44" fontId="18" fillId="7" borderId="36" xfId="2" applyFont="1" applyFill="1" applyBorder="1" applyAlignment="1">
      <alignment horizontal="center" vertical="center"/>
    </xf>
    <xf numFmtId="44" fontId="18" fillId="7" borderId="52" xfId="2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4" borderId="19" xfId="8" applyFont="1" applyFill="1" applyBorder="1" applyAlignment="1">
      <alignment horizontal="center" vertical="center"/>
    </xf>
    <xf numFmtId="169" fontId="9" fillId="4" borderId="36" xfId="1" applyNumberFormat="1" applyFont="1" applyFill="1" applyBorder="1" applyAlignment="1">
      <alignment horizontal="center" vertical="center"/>
    </xf>
    <xf numFmtId="169" fontId="9" fillId="4" borderId="52" xfId="1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44" fontId="17" fillId="0" borderId="0" xfId="2" applyFont="1" applyBorder="1" applyAlignment="1">
      <alignment horizontal="center" vertical="center"/>
    </xf>
    <xf numFmtId="8" fontId="4" fillId="0" borderId="5" xfId="0" applyNumberFormat="1" applyFont="1" applyBorder="1" applyAlignment="1">
      <alignment horizontal="center" vertical="center"/>
    </xf>
    <xf numFmtId="0" fontId="18" fillId="7" borderId="19" xfId="8" applyFont="1" applyFill="1" applyBorder="1" applyAlignment="1">
      <alignment horizontal="left" vertical="center" wrapText="1"/>
    </xf>
    <xf numFmtId="8" fontId="18" fillId="7" borderId="36" xfId="2" applyNumberFormat="1" applyFont="1" applyFill="1" applyBorder="1" applyAlignment="1">
      <alignment horizontal="center" vertical="center"/>
    </xf>
    <xf numFmtId="8" fontId="18" fillId="7" borderId="52" xfId="2" applyNumberFormat="1" applyFont="1" applyFill="1" applyBorder="1" applyAlignment="1">
      <alignment horizontal="center" vertical="center"/>
    </xf>
    <xf numFmtId="0" fontId="18" fillId="7" borderId="5" xfId="8" applyFont="1" applyFill="1" applyBorder="1" applyAlignment="1">
      <alignment horizontal="center" vertical="center"/>
    </xf>
    <xf numFmtId="169" fontId="18" fillId="7" borderId="0" xfId="1" applyNumberFormat="1" applyFont="1" applyFill="1" applyBorder="1" applyAlignment="1">
      <alignment horizontal="center" vertical="center"/>
    </xf>
    <xf numFmtId="169" fontId="18" fillId="7" borderId="6" xfId="1" applyNumberFormat="1" applyFont="1" applyFill="1" applyBorder="1" applyAlignment="1">
      <alignment horizontal="center" vertical="center"/>
    </xf>
    <xf numFmtId="44" fontId="18" fillId="7" borderId="36" xfId="2" applyFont="1" applyFill="1" applyBorder="1" applyAlignment="1">
      <alignment horizontal="center" vertical="center" wrapText="1"/>
    </xf>
    <xf numFmtId="44" fontId="18" fillId="7" borderId="52" xfId="2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9" fillId="4" borderId="19" xfId="8" applyFont="1" applyFill="1" applyBorder="1" applyAlignment="1">
      <alignment horizontal="center" vertical="center" wrapText="1"/>
    </xf>
    <xf numFmtId="0" fontId="17" fillId="7" borderId="5" xfId="8" applyFont="1" applyFill="1" applyBorder="1" applyAlignment="1">
      <alignment horizontal="left" vertical="center" wrapText="1"/>
    </xf>
    <xf numFmtId="8" fontId="17" fillId="0" borderId="6" xfId="2" applyNumberFormat="1" applyFont="1" applyBorder="1" applyAlignment="1">
      <alignment horizontal="center" vertical="center"/>
    </xf>
    <xf numFmtId="8" fontId="4" fillId="0" borderId="6" xfId="2" applyNumberFormat="1" applyFont="1" applyFill="1" applyBorder="1" applyAlignment="1">
      <alignment horizontal="center" vertical="center"/>
    </xf>
    <xf numFmtId="168" fontId="5" fillId="24" borderId="10" xfId="9" applyNumberFormat="1" applyFont="1" applyFill="1" applyBorder="1" applyAlignment="1">
      <alignment horizontal="center" vertical="center" wrapText="1"/>
    </xf>
    <xf numFmtId="44" fontId="5" fillId="24" borderId="10" xfId="2" applyFont="1" applyFill="1" applyBorder="1" applyAlignment="1">
      <alignment horizontal="center" vertical="center"/>
    </xf>
    <xf numFmtId="44" fontId="5" fillId="24" borderId="47" xfId="2" applyFont="1" applyFill="1" applyBorder="1" applyAlignment="1">
      <alignment horizontal="center" vertical="center"/>
    </xf>
    <xf numFmtId="0" fontId="9" fillId="4" borderId="17" xfId="8" applyFont="1" applyFill="1" applyBorder="1" applyAlignment="1">
      <alignment horizontal="center" vertical="center"/>
    </xf>
    <xf numFmtId="169" fontId="9" fillId="4" borderId="17" xfId="1" applyNumberFormat="1" applyFont="1" applyFill="1" applyBorder="1" applyAlignment="1">
      <alignment horizontal="center" vertical="center"/>
    </xf>
    <xf numFmtId="0" fontId="9" fillId="7" borderId="17" xfId="8" applyFont="1" applyFill="1" applyBorder="1" applyAlignment="1">
      <alignment horizontal="center" vertical="center" wrapText="1"/>
    </xf>
    <xf numFmtId="44" fontId="17" fillId="7" borderId="17" xfId="2" applyFont="1" applyFill="1" applyBorder="1" applyAlignment="1">
      <alignment horizontal="center" vertical="center"/>
    </xf>
    <xf numFmtId="44" fontId="17" fillId="7" borderId="17" xfId="2" applyFont="1" applyFill="1" applyBorder="1" applyAlignment="1">
      <alignment horizontal="center" vertical="center" wrapText="1"/>
    </xf>
    <xf numFmtId="0" fontId="3" fillId="3" borderId="1" xfId="5" applyAlignment="1">
      <alignment horizontal="center" vertical="center"/>
    </xf>
    <xf numFmtId="8" fontId="3" fillId="3" borderId="1" xfId="5" applyNumberFormat="1" applyAlignment="1">
      <alignment horizontal="center" vertical="center"/>
    </xf>
    <xf numFmtId="0" fontId="3" fillId="6" borderId="1" xfId="5" applyFill="1" applyAlignment="1">
      <alignment horizontal="center" vertical="center" wrapText="1"/>
    </xf>
    <xf numFmtId="8" fontId="3" fillId="6" borderId="1" xfId="5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44" fontId="4" fillId="0" borderId="17" xfId="0" applyNumberFormat="1" applyFont="1" applyBorder="1" applyAlignment="1">
      <alignment horizontal="center" vertical="center"/>
    </xf>
    <xf numFmtId="0" fontId="3" fillId="3" borderId="1" xfId="5" applyAlignment="1">
      <alignment horizontal="center" vertical="center" wrapText="1"/>
    </xf>
    <xf numFmtId="0" fontId="17" fillId="7" borderId="0" xfId="8" applyFont="1" applyFill="1" applyAlignment="1">
      <alignment horizontal="center" vertical="center"/>
    </xf>
    <xf numFmtId="169" fontId="17" fillId="7" borderId="0" xfId="1" applyNumberFormat="1" applyFont="1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/>
    </xf>
    <xf numFmtId="0" fontId="5" fillId="23" borderId="3" xfId="0" applyFont="1" applyFill="1" applyBorder="1" applyAlignment="1">
      <alignment horizontal="center" vertical="center"/>
    </xf>
    <xf numFmtId="0" fontId="5" fillId="23" borderId="4" xfId="0" applyFont="1" applyFill="1" applyBorder="1" applyAlignment="1">
      <alignment horizontal="center" vertical="center"/>
    </xf>
    <xf numFmtId="169" fontId="9" fillId="4" borderId="17" xfId="8" applyNumberFormat="1" applyFont="1" applyFill="1" applyBorder="1" applyAlignment="1">
      <alignment horizontal="center" vertical="center"/>
    </xf>
    <xf numFmtId="0" fontId="9" fillId="7" borderId="17" xfId="8" applyFont="1" applyFill="1" applyBorder="1" applyAlignment="1">
      <alignment horizontal="center" vertical="center"/>
    </xf>
    <xf numFmtId="8" fontId="17" fillId="7" borderId="17" xfId="2" applyNumberFormat="1" applyFont="1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 wrapText="1"/>
    </xf>
    <xf numFmtId="0" fontId="5" fillId="23" borderId="3" xfId="0" applyFont="1" applyFill="1" applyBorder="1" applyAlignment="1">
      <alignment horizontal="center" vertical="center" wrapText="1"/>
    </xf>
    <xf numFmtId="0" fontId="5" fillId="23" borderId="4" xfId="0" applyFont="1" applyFill="1" applyBorder="1" applyAlignment="1">
      <alignment horizontal="center" vertical="center" wrapText="1"/>
    </xf>
    <xf numFmtId="9" fontId="4" fillId="0" borderId="17" xfId="0" applyNumberFormat="1" applyFont="1" applyBorder="1" applyAlignment="1">
      <alignment horizontal="center" vertical="center"/>
    </xf>
  </cellXfs>
  <cellStyles count="10">
    <cellStyle name="Bueno" xfId="4" builtinId="26"/>
    <cellStyle name="Cálculo" xfId="5" builtinId="22"/>
    <cellStyle name="Millares" xfId="1" builtinId="3"/>
    <cellStyle name="Millares 2" xfId="9" xr:uid="{A33100BF-92C6-43CA-974C-482B0809BFE7}"/>
    <cellStyle name="Millares 2 2" xfId="7" xr:uid="{83F77EB1-BD75-43F3-806F-781651C4A35D}"/>
    <cellStyle name="Moneda" xfId="2" builtinId="4"/>
    <cellStyle name="Normal" xfId="0" builtinId="0"/>
    <cellStyle name="Normal 2" xfId="6" xr:uid="{A9201AE9-6BDD-4FF1-A639-ED6575885EF5}"/>
    <cellStyle name="Normal 3" xfId="8" xr:uid="{63AC4A16-A610-4199-A70A-63FD82531F35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243416</xdr:colOff>
      <xdr:row>0</xdr:row>
      <xdr:rowOff>74083</xdr:rowOff>
    </xdr:from>
    <xdr:to>
      <xdr:col>0</xdr:col>
      <xdr:colOff>1407583</xdr:colOff>
      <xdr:row>3</xdr:row>
      <xdr:rowOff>344381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1F5D98-6E5B-4005-9B40-F1E9F3BAC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416" y="74083"/>
          <a:ext cx="1164167" cy="9846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dfe155c442e4e1a/Escritorio/CONABIO/Informe%20final/Informe%20Final%20tercera%20versi&#243;n/Informe%20final%20tercera%20versi&#243;n%20proyecto%20SG007/2.%20Hoja%20de%20c&#225;lculo%20para%20costos%20de%20producci&#243;n.xlsx" TargetMode="External"/><Relationship Id="rId1" Type="http://schemas.openxmlformats.org/officeDocument/2006/relationships/externalLinkPath" Target="/4dfe155c442e4e1a/Escritorio/CONABIO/Informe%20final/Informe%20Final%20tercera%20versi&#243;n/Informe%20final%20tercera%20versi&#243;n%20proyecto%20SG007/2.%20Hoja%20de%20c&#225;lculo%20para%20costos%20de%20producci&#243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huipango Panel"/>
      <sheetName val="Tehuipango Subproductos"/>
      <sheetName val="La Palma Panel"/>
      <sheetName val="La Palma Subproductos"/>
      <sheetName val="Astacinga"/>
      <sheetName val="Atlanca panel"/>
      <sheetName val="Atlanca Subproductos"/>
      <sheetName val="Coapa Pinopa"/>
      <sheetName val="Choapa Panel"/>
      <sheetName val="Choapa Subproductos"/>
      <sheetName val="Modelo-Milpa"/>
      <sheetName val="Modelo-Café"/>
      <sheetName val="MAP-resumen"/>
      <sheetName val="MAP Choapa"/>
      <sheetName val="MAP Coapa Pinopa"/>
      <sheetName val="MAP Atlanca"/>
      <sheetName val="MAP Astacinga"/>
      <sheetName val="MAP La Palma"/>
      <sheetName val="MAP Tehipango"/>
    </sheetNames>
    <sheetDataSet>
      <sheetData sheetId="0"/>
      <sheetData sheetId="1">
        <row r="3">
          <cell r="A3" t="str">
            <v>Frijol delgado semilla</v>
          </cell>
          <cell r="D3">
            <v>0.5</v>
          </cell>
          <cell r="E3">
            <v>35</v>
          </cell>
        </row>
        <row r="4">
          <cell r="A4" t="str">
            <v>Frijol delgado seco</v>
          </cell>
          <cell r="F4">
            <v>4</v>
          </cell>
          <cell r="K4">
            <v>15</v>
          </cell>
        </row>
        <row r="5">
          <cell r="A5" t="str">
            <v>Frijol delgado verde (maduro)</v>
          </cell>
          <cell r="G5">
            <v>4</v>
          </cell>
          <cell r="K5">
            <v>15</v>
          </cell>
        </row>
        <row r="6">
          <cell r="A6" t="str">
            <v>Frijol gordo elanma semilla</v>
          </cell>
          <cell r="D6">
            <v>2</v>
          </cell>
          <cell r="E6">
            <v>15</v>
          </cell>
        </row>
        <row r="7">
          <cell r="A7" t="str">
            <v>Frijol gordo elanma verde</v>
          </cell>
          <cell r="G7">
            <v>4</v>
          </cell>
          <cell r="K7">
            <v>15</v>
          </cell>
        </row>
        <row r="8">
          <cell r="A8" t="str">
            <v>Frijol gordo elanma seco</v>
          </cell>
          <cell r="K8">
            <v>25</v>
          </cell>
        </row>
        <row r="9">
          <cell r="A9" t="str">
            <v>Frijol gordo evapa semilla</v>
          </cell>
          <cell r="D9">
            <v>1.7</v>
          </cell>
          <cell r="E9">
            <v>30</v>
          </cell>
        </row>
        <row r="10">
          <cell r="A10" t="str">
            <v>Frijol gordo evapa verde</v>
          </cell>
          <cell r="G10">
            <v>4</v>
          </cell>
          <cell r="K10">
            <v>15</v>
          </cell>
        </row>
        <row r="11">
          <cell r="A11" t="str">
            <v>Frijol gordo evapa seco</v>
          </cell>
          <cell r="K11">
            <v>30</v>
          </cell>
        </row>
        <row r="12">
          <cell r="A12" t="str">
            <v>Chilacayota semilla</v>
          </cell>
          <cell r="D12">
            <v>0.7</v>
          </cell>
          <cell r="E12">
            <v>60</v>
          </cell>
        </row>
        <row r="13">
          <cell r="A13" t="str">
            <v>Chilacayota semilla pepitas para venta</v>
          </cell>
          <cell r="F13">
            <v>12</v>
          </cell>
        </row>
        <row r="14">
          <cell r="A14" t="str">
            <v>Chilacayota verde</v>
          </cell>
          <cell r="G14">
            <v>20</v>
          </cell>
          <cell r="K14">
            <v>30</v>
          </cell>
        </row>
        <row r="15">
          <cell r="A15" t="str">
            <v>Chilacayota seca (madura)</v>
          </cell>
          <cell r="G15">
            <v>5</v>
          </cell>
          <cell r="K15">
            <v>50</v>
          </cell>
        </row>
        <row r="16">
          <cell r="A16" t="str">
            <v>Navayote semilla</v>
          </cell>
          <cell r="D16">
            <v>0.5</v>
          </cell>
          <cell r="E16">
            <v>40</v>
          </cell>
        </row>
        <row r="17">
          <cell r="A17" t="str">
            <v>Navayote semilla (venta)</v>
          </cell>
          <cell r="F17">
            <v>5</v>
          </cell>
          <cell r="K17">
            <v>40</v>
          </cell>
        </row>
        <row r="18">
          <cell r="A18" t="str">
            <v>Navayote seco</v>
          </cell>
          <cell r="K18">
            <v>50</v>
          </cell>
        </row>
        <row r="19">
          <cell r="A19" t="str">
            <v>Haba semilla</v>
          </cell>
          <cell r="D19">
            <v>2</v>
          </cell>
          <cell r="E19">
            <v>30</v>
          </cell>
        </row>
        <row r="20">
          <cell r="A20" t="str">
            <v>Haba verde (autoconsumo)</v>
          </cell>
          <cell r="G20">
            <v>5</v>
          </cell>
          <cell r="K20">
            <v>40</v>
          </cell>
        </row>
        <row r="21">
          <cell r="A21" t="str">
            <v>Haba verde (venta)</v>
          </cell>
          <cell r="G21">
            <v>10</v>
          </cell>
          <cell r="K21">
            <v>40</v>
          </cell>
        </row>
        <row r="22">
          <cell r="A22" t="str">
            <v>Haba seca</v>
          </cell>
          <cell r="K22">
            <v>30</v>
          </cell>
        </row>
        <row r="23">
          <cell r="A23" t="str">
            <v>Elotes</v>
          </cell>
          <cell r="G23">
            <v>300</v>
          </cell>
          <cell r="K23">
            <v>10</v>
          </cell>
        </row>
        <row r="24">
          <cell r="A24" t="str">
            <v>Quelites</v>
          </cell>
          <cell r="G24">
            <v>1</v>
          </cell>
          <cell r="K24">
            <v>10</v>
          </cell>
        </row>
        <row r="25">
          <cell r="A25" t="str">
            <v>Esquilmos (chinamite) Milobatl</v>
          </cell>
          <cell r="G25">
            <v>10</v>
          </cell>
          <cell r="K25">
            <v>500</v>
          </cell>
        </row>
        <row r="26">
          <cell r="A26" t="str">
            <v>Hoja de tamal</v>
          </cell>
          <cell r="G26">
            <v>1</v>
          </cell>
          <cell r="K26">
            <v>80</v>
          </cell>
        </row>
        <row r="27">
          <cell r="A27" t="str">
            <v>Flor de calabaza</v>
          </cell>
          <cell r="G27">
            <v>2</v>
          </cell>
          <cell r="K27">
            <v>10</v>
          </cell>
        </row>
        <row r="28">
          <cell r="A28" t="str">
            <v>Guías</v>
          </cell>
          <cell r="G28">
            <v>3</v>
          </cell>
          <cell r="K28">
            <v>10</v>
          </cell>
        </row>
        <row r="29">
          <cell r="A29" t="str">
            <v>Huitlacoche</v>
          </cell>
          <cell r="G29">
            <v>2</v>
          </cell>
          <cell r="K29">
            <v>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DCA2-4119-4284-A1C4-726701DA6F47}">
  <sheetPr>
    <tabColor theme="0" tint="-4.9989318521683403E-2"/>
  </sheetPr>
  <dimension ref="A1:GA377"/>
  <sheetViews>
    <sheetView showGridLines="0" tabSelected="1" zoomScale="90" zoomScaleNormal="90" workbookViewId="0">
      <selection activeCell="C393" sqref="C393"/>
    </sheetView>
  </sheetViews>
  <sheetFormatPr baseColWidth="10" defaultColWidth="11.42578125" defaultRowHeight="14.25" x14ac:dyDescent="0.2"/>
  <cols>
    <col min="1" max="1" width="24.42578125" style="4" customWidth="1"/>
    <col min="2" max="2" width="17.42578125" style="4" customWidth="1"/>
    <col min="3" max="3" width="15.140625" style="4" customWidth="1"/>
    <col min="4" max="4" width="14.42578125" style="4" customWidth="1"/>
    <col min="5" max="5" width="16.7109375" style="4" customWidth="1"/>
    <col min="6" max="6" width="43" style="4" customWidth="1"/>
    <col min="7" max="7" width="26.28515625" style="4" customWidth="1"/>
    <col min="8" max="8" width="23.7109375" style="4" customWidth="1"/>
    <col min="9" max="9" width="27.28515625" style="4" customWidth="1"/>
    <col min="10" max="10" width="13.28515625" style="4" customWidth="1"/>
    <col min="11" max="11" width="11.42578125" style="4"/>
    <col min="12" max="12" width="13.7109375" style="4" customWidth="1"/>
    <col min="13" max="13" width="11.42578125" style="4"/>
    <col min="14" max="14" width="23.42578125" style="4" customWidth="1"/>
    <col min="15" max="15" width="23.28515625" style="4" customWidth="1"/>
    <col min="16" max="16" width="18.7109375" style="4" customWidth="1"/>
    <col min="17" max="17" width="11.42578125" style="4"/>
    <col min="18" max="18" width="11.42578125" style="5"/>
    <col min="19" max="19" width="11.42578125" style="4"/>
    <col min="20" max="22" width="12.7109375" style="4" customWidth="1"/>
    <col min="23" max="23" width="11.42578125" style="4"/>
    <col min="24" max="24" width="10.7109375" style="4" customWidth="1"/>
    <col min="25" max="25" width="15.42578125" style="4" customWidth="1"/>
    <col min="26" max="26" width="13" style="4" customWidth="1"/>
    <col min="27" max="27" width="12.42578125" style="4" customWidth="1"/>
    <col min="28" max="28" width="13.28515625" style="4" customWidth="1"/>
    <col min="29" max="16384" width="11.42578125" style="4"/>
  </cols>
  <sheetData>
    <row r="1" spans="1:183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83" ht="21" customHeight="1" x14ac:dyDescent="0.2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1:183" ht="21" customHeight="1" x14ac:dyDescent="0.2">
      <c r="A3" s="9"/>
      <c r="B3" s="7"/>
      <c r="C3" s="7"/>
      <c r="E3" s="7"/>
      <c r="F3" s="7"/>
      <c r="G3" s="7"/>
      <c r="H3" s="7"/>
      <c r="I3" s="7"/>
      <c r="J3" s="7"/>
      <c r="K3" s="7"/>
      <c r="L3" s="7"/>
      <c r="M3" s="7"/>
      <c r="N3" s="8"/>
    </row>
    <row r="4" spans="1:183" ht="60.95" customHeight="1" x14ac:dyDescent="0.2">
      <c r="A4" s="9"/>
      <c r="B4" s="7"/>
      <c r="D4" s="10" t="s">
        <v>0</v>
      </c>
      <c r="E4" s="10"/>
      <c r="F4" s="10"/>
      <c r="G4" s="10"/>
      <c r="H4" s="10"/>
      <c r="I4" s="10"/>
      <c r="J4" s="10"/>
      <c r="K4" s="10"/>
      <c r="M4" s="7"/>
      <c r="N4" s="8"/>
    </row>
    <row r="5" spans="1:183" ht="15" x14ac:dyDescent="0.25">
      <c r="A5" s="6"/>
      <c r="C5" s="11"/>
      <c r="D5" s="10"/>
      <c r="E5" s="10"/>
      <c r="F5" s="10"/>
      <c r="G5" s="10"/>
      <c r="H5" s="10"/>
      <c r="I5" s="10"/>
      <c r="J5" s="10"/>
      <c r="K5" s="10"/>
      <c r="N5" s="12"/>
    </row>
    <row r="6" spans="1:183" ht="21" customHeight="1" x14ac:dyDescent="0.2">
      <c r="A6" s="6"/>
      <c r="C6" s="10" t="s">
        <v>1</v>
      </c>
      <c r="D6" s="10"/>
      <c r="E6" s="10"/>
      <c r="F6" s="10"/>
      <c r="G6" s="10"/>
      <c r="H6" s="10"/>
      <c r="I6" s="10"/>
      <c r="J6" s="10"/>
      <c r="K6" s="10"/>
      <c r="L6" s="10"/>
      <c r="N6" s="12"/>
    </row>
    <row r="7" spans="1:183" x14ac:dyDescent="0.2">
      <c r="A7" s="6"/>
      <c r="C7" s="10"/>
      <c r="D7" s="10"/>
      <c r="E7" s="10"/>
      <c r="F7" s="10"/>
      <c r="G7" s="10"/>
      <c r="H7" s="10"/>
      <c r="I7" s="10"/>
      <c r="J7" s="10"/>
      <c r="K7" s="10"/>
      <c r="L7" s="10"/>
      <c r="N7" s="12"/>
    </row>
    <row r="8" spans="1:183" ht="15" thickBot="1" x14ac:dyDescent="0.25">
      <c r="A8" s="13"/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4"/>
      <c r="N8" s="16"/>
    </row>
    <row r="9" spans="1:183" ht="15.75" thickBot="1" x14ac:dyDescent="0.25">
      <c r="A9" s="17" t="s">
        <v>2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  <c r="O9" s="20"/>
      <c r="P9" s="20"/>
      <c r="Q9" s="20"/>
      <c r="R9" s="21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</row>
    <row r="10" spans="1:183" ht="15" x14ac:dyDescent="0.2">
      <c r="A10" s="22" t="s">
        <v>3</v>
      </c>
      <c r="B10" s="23"/>
      <c r="C10" s="24" t="s">
        <v>4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5"/>
      <c r="O10" s="20"/>
      <c r="P10" s="20"/>
      <c r="Q10" s="20"/>
      <c r="R10" s="21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</row>
    <row r="11" spans="1:183" ht="15" x14ac:dyDescent="0.2">
      <c r="A11" s="26" t="s">
        <v>5</v>
      </c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9"/>
      <c r="O11" s="20"/>
      <c r="P11" s="20"/>
      <c r="Q11" s="20"/>
      <c r="R11" s="21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</row>
    <row r="12" spans="1:183" ht="15" x14ac:dyDescent="0.2">
      <c r="A12" s="30" t="s">
        <v>6</v>
      </c>
      <c r="B12" s="31"/>
      <c r="C12" s="28" t="s">
        <v>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9"/>
      <c r="O12" s="20"/>
      <c r="P12" s="20"/>
      <c r="Q12" s="20"/>
      <c r="R12" s="21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</row>
    <row r="13" spans="1:183" ht="15" x14ac:dyDescent="0.2">
      <c r="A13" s="26" t="s">
        <v>8</v>
      </c>
      <c r="B13" s="27"/>
      <c r="C13" s="32">
        <v>44973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3"/>
      <c r="O13" s="20"/>
      <c r="P13" s="20"/>
      <c r="Q13" s="20"/>
      <c r="R13" s="21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</row>
    <row r="14" spans="1:183" ht="15" x14ac:dyDescent="0.2">
      <c r="A14" s="34" t="s">
        <v>9</v>
      </c>
      <c r="B14" s="35"/>
      <c r="C14" s="32">
        <v>44982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3"/>
      <c r="O14" s="20"/>
      <c r="P14" s="20"/>
      <c r="Q14" s="20"/>
      <c r="R14" s="21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</row>
    <row r="15" spans="1:183" ht="15" thickBot="1" x14ac:dyDescent="0.25">
      <c r="A15" s="36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37"/>
      <c r="O15" s="20"/>
      <c r="P15" s="20"/>
      <c r="Q15" s="20"/>
      <c r="R15" s="21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</row>
    <row r="16" spans="1:183" x14ac:dyDescent="0.2">
      <c r="A16" s="38" t="s">
        <v>10</v>
      </c>
      <c r="B16" s="39"/>
      <c r="C16" s="40" t="s">
        <v>11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2"/>
      <c r="O16" s="20"/>
      <c r="P16" s="20"/>
      <c r="Q16" s="20"/>
      <c r="R16" s="21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</row>
    <row r="17" spans="1:183" x14ac:dyDescent="0.2">
      <c r="A17" s="43"/>
      <c r="B17" s="44"/>
      <c r="C17" s="45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7"/>
      <c r="O17" s="20"/>
      <c r="P17" s="20"/>
      <c r="Q17" s="20"/>
      <c r="R17" s="21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</row>
    <row r="18" spans="1:183" x14ac:dyDescent="0.2">
      <c r="A18" s="43"/>
      <c r="B18" s="44"/>
      <c r="C18" s="45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7"/>
      <c r="O18" s="20"/>
      <c r="P18" s="20"/>
      <c r="Q18" s="20"/>
      <c r="R18" s="21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</row>
    <row r="19" spans="1:183" ht="15" thickBot="1" x14ac:dyDescent="0.25">
      <c r="A19" s="48"/>
      <c r="B19" s="49"/>
      <c r="C19" s="50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2"/>
      <c r="O19" s="20"/>
      <c r="P19" s="20"/>
      <c r="Q19" s="20"/>
      <c r="R19" s="21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</row>
    <row r="20" spans="1:183" ht="15" thickBot="1" x14ac:dyDescent="0.25">
      <c r="A20" s="6"/>
      <c r="C20" s="21"/>
      <c r="D20" s="21"/>
      <c r="E20" s="21"/>
      <c r="F20" s="21"/>
      <c r="G20" s="21"/>
      <c r="H20" s="21"/>
      <c r="J20" s="21"/>
      <c r="K20" s="21"/>
      <c r="L20" s="20"/>
      <c r="M20" s="20"/>
      <c r="N20" s="37"/>
      <c r="O20" s="20"/>
      <c r="P20" s="20"/>
      <c r="Q20" s="20"/>
      <c r="R20" s="21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</row>
    <row r="21" spans="1:183" s="57" customFormat="1" ht="120" x14ac:dyDescent="0.25">
      <c r="A21" s="53" t="s">
        <v>12</v>
      </c>
      <c r="B21" s="54" t="s">
        <v>13</v>
      </c>
      <c r="C21" s="55" t="s">
        <v>14</v>
      </c>
      <c r="D21" s="55" t="s">
        <v>15</v>
      </c>
      <c r="E21" s="55" t="s">
        <v>16</v>
      </c>
      <c r="F21" s="55" t="s">
        <v>17</v>
      </c>
      <c r="G21" s="55" t="s">
        <v>18</v>
      </c>
      <c r="H21" s="55" t="s">
        <v>19</v>
      </c>
      <c r="I21" s="56" t="s">
        <v>20</v>
      </c>
      <c r="J21" s="56" t="s">
        <v>21</v>
      </c>
      <c r="K21" s="56" t="s">
        <v>22</v>
      </c>
      <c r="L21" s="56" t="s">
        <v>23</v>
      </c>
      <c r="M21" s="56" t="s">
        <v>24</v>
      </c>
      <c r="N21" s="56" t="s">
        <v>25</v>
      </c>
      <c r="O21" s="56" t="s">
        <v>26</v>
      </c>
      <c r="P21" s="56" t="s">
        <v>27</v>
      </c>
      <c r="Q21" s="56" t="s">
        <v>28</v>
      </c>
      <c r="R21" s="56" t="s">
        <v>29</v>
      </c>
      <c r="AB21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</row>
    <row r="22" spans="1:183" ht="90" customHeight="1" x14ac:dyDescent="0.25">
      <c r="A22" s="59"/>
      <c r="B22" s="60" t="s">
        <v>30</v>
      </c>
      <c r="C22" s="61">
        <f>10+4+2</f>
        <v>16</v>
      </c>
      <c r="D22" s="60" t="s">
        <v>31</v>
      </c>
      <c r="E22" s="60" t="s">
        <v>32</v>
      </c>
      <c r="F22" s="61" t="s">
        <v>33</v>
      </c>
      <c r="G22" s="61">
        <v>80</v>
      </c>
      <c r="H22" s="62">
        <f>25*G22</f>
        <v>2000</v>
      </c>
      <c r="I22" s="63" t="s">
        <v>34</v>
      </c>
      <c r="J22" s="64">
        <v>12</v>
      </c>
      <c r="K22" s="64">
        <v>15</v>
      </c>
      <c r="L22" s="60">
        <f>+((1*J22*30)*15)/20</f>
        <v>270</v>
      </c>
      <c r="M22" s="60" t="s">
        <v>35</v>
      </c>
      <c r="N22" s="60">
        <v>44</v>
      </c>
      <c r="O22" s="60">
        <f>+((N22*4*J22)*15)/20</f>
        <v>1584</v>
      </c>
      <c r="P22" s="60">
        <v>12</v>
      </c>
      <c r="Q22" s="60">
        <f>((P22*15)/20)*C22</f>
        <v>144</v>
      </c>
      <c r="R22" s="60" t="s">
        <v>36</v>
      </c>
      <c r="AB22"/>
      <c r="AD22" s="5"/>
      <c r="AE22" s="20"/>
      <c r="AF22" s="20"/>
      <c r="AG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</row>
    <row r="23" spans="1:183" ht="48" x14ac:dyDescent="0.25">
      <c r="A23" s="59"/>
      <c r="B23" s="61" t="s">
        <v>37</v>
      </c>
      <c r="C23" s="61">
        <f>3+1</f>
        <v>4</v>
      </c>
      <c r="D23" s="60" t="s">
        <v>38</v>
      </c>
      <c r="E23" s="60"/>
      <c r="F23" s="61" t="s">
        <v>33</v>
      </c>
      <c r="G23" s="61">
        <v>34</v>
      </c>
      <c r="H23" s="62">
        <f>25*G23</f>
        <v>850</v>
      </c>
      <c r="I23" s="60" t="s">
        <v>39</v>
      </c>
      <c r="J23" s="61">
        <v>12</v>
      </c>
      <c r="K23" s="61">
        <v>5</v>
      </c>
      <c r="L23" s="60">
        <f>10*52</f>
        <v>520</v>
      </c>
      <c r="M23" s="60" t="s">
        <v>40</v>
      </c>
      <c r="N23" s="60">
        <v>12</v>
      </c>
      <c r="O23" s="60">
        <f>+((N23*4*J23)*15)/20</f>
        <v>432</v>
      </c>
      <c r="P23" s="60">
        <v>12</v>
      </c>
      <c r="Q23" s="60">
        <f t="shared" ref="Q23:Q30" si="0">+P23*C23</f>
        <v>48</v>
      </c>
      <c r="R23" s="60"/>
      <c r="AB23"/>
      <c r="AD23" s="5"/>
      <c r="AE23" s="20"/>
      <c r="AF23" s="20"/>
      <c r="AG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</row>
    <row r="24" spans="1:183" ht="84" x14ac:dyDescent="0.25">
      <c r="A24" s="59"/>
      <c r="B24" s="60" t="s">
        <v>7</v>
      </c>
      <c r="C24" s="60">
        <v>1</v>
      </c>
      <c r="D24" s="60" t="s">
        <v>41</v>
      </c>
      <c r="E24" s="60" t="s">
        <v>32</v>
      </c>
      <c r="F24" s="61" t="s">
        <v>33</v>
      </c>
      <c r="G24" s="60">
        <v>6</v>
      </c>
      <c r="H24" s="62">
        <f t="shared" ref="H24:H30" si="1">25*G24</f>
        <v>150</v>
      </c>
      <c r="I24" s="60" t="s">
        <v>42</v>
      </c>
      <c r="J24" s="61">
        <v>4</v>
      </c>
      <c r="K24" s="61">
        <v>3</v>
      </c>
      <c r="L24" s="60">
        <f>4*4*10</f>
        <v>160</v>
      </c>
      <c r="M24" s="60" t="s">
        <v>40</v>
      </c>
      <c r="N24" s="60">
        <v>12</v>
      </c>
      <c r="O24" s="60">
        <f>+((N24*4*J24)*15)/20</f>
        <v>144</v>
      </c>
      <c r="P24" s="60">
        <v>1</v>
      </c>
      <c r="Q24" s="60">
        <f t="shared" si="0"/>
        <v>1</v>
      </c>
      <c r="R24" s="60" t="s">
        <v>43</v>
      </c>
      <c r="AB24"/>
      <c r="AD24" s="5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</row>
    <row r="25" spans="1:183" ht="84" x14ac:dyDescent="0.25">
      <c r="A25" s="59"/>
      <c r="B25" s="61" t="s">
        <v>7</v>
      </c>
      <c r="C25" s="61">
        <v>3</v>
      </c>
      <c r="D25" s="60" t="s">
        <v>44</v>
      </c>
      <c r="E25" s="60" t="s">
        <v>32</v>
      </c>
      <c r="F25" s="61" t="s">
        <v>33</v>
      </c>
      <c r="G25" s="61">
        <v>18</v>
      </c>
      <c r="H25" s="62">
        <f t="shared" si="1"/>
        <v>450</v>
      </c>
      <c r="I25" s="60" t="s">
        <v>45</v>
      </c>
      <c r="J25" s="61">
        <v>6</v>
      </c>
      <c r="K25" s="61">
        <v>6</v>
      </c>
      <c r="L25" s="60">
        <f t="shared" ref="L25:L30" si="2">+((M25*J25*30)*15)/20</f>
        <v>202.5</v>
      </c>
      <c r="M25" s="60">
        <v>1.5</v>
      </c>
      <c r="N25" s="60">
        <v>20</v>
      </c>
      <c r="O25" s="60">
        <f>+((N25*4*J25)*15)/20</f>
        <v>360</v>
      </c>
      <c r="P25" s="60">
        <v>12</v>
      </c>
      <c r="Q25" s="60">
        <f t="shared" si="0"/>
        <v>36</v>
      </c>
      <c r="R25" s="60" t="s">
        <v>46</v>
      </c>
      <c r="AB25"/>
      <c r="AD25" s="5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</row>
    <row r="26" spans="1:183" ht="84" x14ac:dyDescent="0.25">
      <c r="A26" s="59"/>
      <c r="B26" s="61" t="s">
        <v>7</v>
      </c>
      <c r="C26" s="61">
        <v>1</v>
      </c>
      <c r="D26" s="60" t="s">
        <v>47</v>
      </c>
      <c r="E26" s="60" t="s">
        <v>32</v>
      </c>
      <c r="F26" s="61" t="s">
        <v>33</v>
      </c>
      <c r="G26" s="61">
        <v>8</v>
      </c>
      <c r="H26" s="62">
        <f t="shared" si="1"/>
        <v>200</v>
      </c>
      <c r="I26" s="60" t="s">
        <v>48</v>
      </c>
      <c r="J26" s="61">
        <v>3</v>
      </c>
      <c r="K26" s="61">
        <v>3</v>
      </c>
      <c r="L26" s="60">
        <f t="shared" si="2"/>
        <v>67.5</v>
      </c>
      <c r="M26" s="60">
        <v>1</v>
      </c>
      <c r="N26" s="60">
        <v>12</v>
      </c>
      <c r="O26" s="60">
        <f>+((N26*4*J26)*15)/20</f>
        <v>108</v>
      </c>
      <c r="P26" s="60">
        <v>3</v>
      </c>
      <c r="Q26" s="60">
        <f t="shared" si="0"/>
        <v>3</v>
      </c>
      <c r="R26" s="60" t="s">
        <v>49</v>
      </c>
      <c r="AB26"/>
      <c r="AD26" s="5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</row>
    <row r="27" spans="1:183" ht="84" x14ac:dyDescent="0.25">
      <c r="A27" s="59"/>
      <c r="B27" s="61" t="s">
        <v>7</v>
      </c>
      <c r="C27" s="61">
        <v>2</v>
      </c>
      <c r="D27" s="60" t="s">
        <v>50</v>
      </c>
      <c r="E27" s="60" t="s">
        <v>32</v>
      </c>
      <c r="F27" s="61" t="s">
        <v>33</v>
      </c>
      <c r="G27" s="61">
        <v>10</v>
      </c>
      <c r="H27" s="62">
        <f t="shared" si="1"/>
        <v>250</v>
      </c>
      <c r="I27" s="60" t="s">
        <v>51</v>
      </c>
      <c r="J27" s="61">
        <v>4</v>
      </c>
      <c r="K27" s="61">
        <v>5</v>
      </c>
      <c r="L27" s="60">
        <f t="shared" si="2"/>
        <v>135</v>
      </c>
      <c r="M27" s="60">
        <v>1.5</v>
      </c>
      <c r="N27" s="60">
        <v>10</v>
      </c>
      <c r="O27" s="60">
        <f>+(N27*4*J27)</f>
        <v>160</v>
      </c>
      <c r="P27" s="60">
        <v>3</v>
      </c>
      <c r="Q27" s="60">
        <f t="shared" si="0"/>
        <v>6</v>
      </c>
      <c r="R27" s="60" t="s">
        <v>52</v>
      </c>
      <c r="AB27"/>
      <c r="AD27" s="5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</row>
    <row r="28" spans="1:183" ht="72" x14ac:dyDescent="0.25">
      <c r="A28" s="59"/>
      <c r="B28" s="61"/>
      <c r="C28" s="61">
        <v>10</v>
      </c>
      <c r="D28" s="60" t="s">
        <v>53</v>
      </c>
      <c r="E28" s="60" t="s">
        <v>54</v>
      </c>
      <c r="F28" s="61" t="s">
        <v>33</v>
      </c>
      <c r="G28" s="61">
        <v>48</v>
      </c>
      <c r="H28" s="62">
        <f t="shared" si="1"/>
        <v>1200</v>
      </c>
      <c r="I28" s="60" t="s">
        <v>55</v>
      </c>
      <c r="J28" s="61">
        <v>12</v>
      </c>
      <c r="K28" s="61">
        <v>2</v>
      </c>
      <c r="L28" s="60">
        <f t="shared" si="2"/>
        <v>810</v>
      </c>
      <c r="M28" s="60">
        <f>1.5+1+0.5</f>
        <v>3</v>
      </c>
      <c r="N28" s="60">
        <v>12</v>
      </c>
      <c r="O28" s="60">
        <f>(N28*4*J28)</f>
        <v>576</v>
      </c>
      <c r="P28" s="60">
        <v>10</v>
      </c>
      <c r="Q28" s="60">
        <f t="shared" si="0"/>
        <v>100</v>
      </c>
      <c r="R28" s="60"/>
      <c r="AB28"/>
      <c r="AD28" s="5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</row>
    <row r="29" spans="1:183" ht="72" x14ac:dyDescent="0.25">
      <c r="A29" s="59"/>
      <c r="B29" s="61" t="s">
        <v>7</v>
      </c>
      <c r="C29" s="61">
        <v>3</v>
      </c>
      <c r="D29" s="60" t="s">
        <v>50</v>
      </c>
      <c r="E29" s="60" t="s">
        <v>54</v>
      </c>
      <c r="F29" s="61" t="s">
        <v>33</v>
      </c>
      <c r="G29" s="61">
        <v>16</v>
      </c>
      <c r="H29" s="62">
        <f t="shared" si="1"/>
        <v>400</v>
      </c>
      <c r="I29" s="60" t="s">
        <v>56</v>
      </c>
      <c r="J29" s="61">
        <v>7</v>
      </c>
      <c r="K29" s="61">
        <v>4</v>
      </c>
      <c r="L29" s="60">
        <f t="shared" si="2"/>
        <v>157.5</v>
      </c>
      <c r="M29" s="60">
        <v>1</v>
      </c>
      <c r="N29" s="60">
        <v>12</v>
      </c>
      <c r="O29" s="60">
        <f t="shared" ref="O29:O30" si="3">+((N29*4*J29)*15)/20</f>
        <v>252</v>
      </c>
      <c r="P29" s="60">
        <v>4.5</v>
      </c>
      <c r="Q29" s="60">
        <f t="shared" si="0"/>
        <v>13.5</v>
      </c>
      <c r="R29" s="60" t="s">
        <v>57</v>
      </c>
      <c r="AB29"/>
      <c r="AD29" s="5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</row>
    <row r="30" spans="1:183" ht="84" x14ac:dyDescent="0.25">
      <c r="A30" s="59"/>
      <c r="B30" s="61" t="s">
        <v>7</v>
      </c>
      <c r="C30" s="61">
        <v>5</v>
      </c>
      <c r="D30" s="60" t="s">
        <v>44</v>
      </c>
      <c r="E30" s="60" t="s">
        <v>32</v>
      </c>
      <c r="F30" s="61" t="s">
        <v>33</v>
      </c>
      <c r="G30" s="61">
        <v>12</v>
      </c>
      <c r="H30" s="62">
        <f t="shared" si="1"/>
        <v>300</v>
      </c>
      <c r="I30" s="60" t="s">
        <v>58</v>
      </c>
      <c r="J30" s="60">
        <v>5</v>
      </c>
      <c r="K30" s="61">
        <v>7</v>
      </c>
      <c r="L30" s="60">
        <f t="shared" si="2"/>
        <v>67.5</v>
      </c>
      <c r="M30" s="60">
        <v>0.6</v>
      </c>
      <c r="N30" s="60">
        <v>24</v>
      </c>
      <c r="O30" s="60">
        <f t="shared" si="3"/>
        <v>360</v>
      </c>
      <c r="P30" s="60">
        <v>3</v>
      </c>
      <c r="Q30" s="60">
        <f t="shared" si="0"/>
        <v>15</v>
      </c>
      <c r="R30" s="60" t="s">
        <v>59</v>
      </c>
      <c r="AB30"/>
      <c r="AD30" s="5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</row>
    <row r="31" spans="1:183" ht="15.75" thickBot="1" x14ac:dyDescent="0.3">
      <c r="A31" s="65" t="s">
        <v>60</v>
      </c>
      <c r="B31" s="66"/>
      <c r="C31" s="66">
        <f>SUM(C22:C30)</f>
        <v>45</v>
      </c>
      <c r="D31" s="67"/>
      <c r="E31" s="68"/>
      <c r="F31" s="69"/>
      <c r="G31" s="70">
        <f>SUM(G22:G30)</f>
        <v>232</v>
      </c>
      <c r="H31" s="71">
        <f>SUM(H22:H30)</f>
        <v>5800</v>
      </c>
      <c r="I31" s="70"/>
      <c r="J31" s="70">
        <f>+AVERAGE(J22:J30)</f>
        <v>7.2222222222222223</v>
      </c>
      <c r="K31" s="70">
        <f>+AVERAGE(K22:K30)</f>
        <v>5.5555555555555554</v>
      </c>
      <c r="L31" s="70">
        <f>+AVERAGE(L22:L30)</f>
        <v>265.55555555555554</v>
      </c>
      <c r="M31" s="70"/>
      <c r="N31" s="70">
        <f>+AVERAGE(N22:N30)</f>
        <v>17.555555555555557</v>
      </c>
      <c r="O31" s="70">
        <f>+AVERAGE(O22:O30)</f>
        <v>441.77777777777777</v>
      </c>
      <c r="P31" s="70"/>
      <c r="Q31" s="70">
        <f>+AVERAGE(Q22:Q30)</f>
        <v>40.722222222222221</v>
      </c>
      <c r="R31" s="70"/>
      <c r="S31" s="20"/>
      <c r="T31" s="20"/>
      <c r="U31" s="20"/>
      <c r="V31" s="20"/>
      <c r="W31" s="20"/>
      <c r="X31" s="20"/>
      <c r="Y31" s="20"/>
      <c r="Z31" s="20"/>
      <c r="AA31" s="20"/>
      <c r="AB31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</row>
    <row r="32" spans="1:183" ht="24.75" thickBot="1" x14ac:dyDescent="0.25">
      <c r="A32" s="72" t="s">
        <v>61</v>
      </c>
      <c r="B32" s="73"/>
      <c r="C32" s="73"/>
      <c r="D32" s="74" t="e">
        <f>+C31/COUNTA(A22:A30)</f>
        <v>#DIV/0!</v>
      </c>
      <c r="E32" s="57"/>
      <c r="F32" s="57"/>
      <c r="G32" s="57"/>
      <c r="H32" s="57"/>
      <c r="I32" s="57"/>
      <c r="J32" s="57"/>
      <c r="K32" s="57"/>
      <c r="L32" s="75">
        <f>L31/(30*J31)</f>
        <v>1.2256410256410257</v>
      </c>
      <c r="M32" s="76" t="s">
        <v>62</v>
      </c>
      <c r="N32" s="77"/>
      <c r="O32" s="75">
        <f>(O31/(30*J31))</f>
        <v>2.0389743589743592</v>
      </c>
      <c r="P32" s="76" t="s">
        <v>63</v>
      </c>
      <c r="Q32" s="75">
        <f>+Q31/C31</f>
        <v>0.90493827160493823</v>
      </c>
      <c r="R32" s="78" t="s">
        <v>64</v>
      </c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</row>
    <row r="33" spans="1:183" ht="15" thickBot="1" x14ac:dyDescent="0.25">
      <c r="A33" s="72" t="s">
        <v>65</v>
      </c>
      <c r="B33" s="73"/>
      <c r="C33" s="73"/>
      <c r="D33" s="74" t="e">
        <f>(C31/20)/COUNTA(A22:A30)</f>
        <v>#DIV/0!</v>
      </c>
      <c r="E33" s="57"/>
      <c r="F33" s="57"/>
      <c r="G33" s="57"/>
      <c r="H33" s="57"/>
      <c r="I33" s="57"/>
      <c r="J33" s="57"/>
      <c r="K33" s="57"/>
      <c r="L33" s="57"/>
      <c r="M33" s="57"/>
      <c r="N33" s="77"/>
      <c r="O33" s="79">
        <f>(O31/(30*J31))/K31</f>
        <v>0.36701538461538469</v>
      </c>
      <c r="P33" s="76" t="s">
        <v>66</v>
      </c>
      <c r="Q33" s="57"/>
      <c r="R33" s="8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</row>
    <row r="34" spans="1:183" x14ac:dyDescent="0.2">
      <c r="A34" s="72" t="s">
        <v>67</v>
      </c>
      <c r="B34" s="73"/>
      <c r="C34" s="73"/>
      <c r="D34" s="74">
        <f>H31/C31</f>
        <v>128.88888888888889</v>
      </c>
      <c r="E34" s="57"/>
      <c r="F34" s="57"/>
      <c r="G34" s="57"/>
      <c r="H34" s="57"/>
      <c r="I34" s="57"/>
      <c r="J34" s="57"/>
      <c r="K34" s="57"/>
      <c r="L34" s="57"/>
      <c r="M34" s="57"/>
      <c r="N34" s="77"/>
      <c r="O34" s="81"/>
      <c r="P34" s="57"/>
      <c r="Q34" s="57"/>
      <c r="R34" s="8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</row>
    <row r="35" spans="1:183" x14ac:dyDescent="0.2">
      <c r="A35" s="72" t="s">
        <v>68</v>
      </c>
      <c r="B35" s="73"/>
      <c r="C35" s="73"/>
      <c r="D35" s="74">
        <f>D34*20</f>
        <v>2577.7777777777778</v>
      </c>
      <c r="E35" s="57"/>
      <c r="F35" s="57"/>
      <c r="G35" s="57"/>
      <c r="H35" s="57"/>
      <c r="I35" s="57"/>
      <c r="J35" s="57"/>
      <c r="K35" s="57"/>
      <c r="L35" s="57"/>
      <c r="M35" s="57"/>
      <c r="N35" s="77"/>
      <c r="O35" s="81"/>
      <c r="P35" s="57"/>
      <c r="Q35" s="57"/>
      <c r="R35" s="82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</row>
    <row r="36" spans="1:183" x14ac:dyDescent="0.2">
      <c r="A36" s="6"/>
      <c r="N36" s="12"/>
      <c r="O36" s="83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</row>
    <row r="37" spans="1:183" ht="15" thickBot="1" x14ac:dyDescent="0.25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6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</row>
    <row r="38" spans="1:183" ht="15" x14ac:dyDescent="0.25">
      <c r="A38" s="84" t="s">
        <v>69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6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</row>
    <row r="39" spans="1:183" ht="15.75" thickBot="1" x14ac:dyDescent="0.3">
      <c r="A39" s="87"/>
      <c r="B39" s="88"/>
      <c r="C39" s="88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9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</row>
    <row r="40" spans="1:183" ht="15.75" thickBot="1" x14ac:dyDescent="0.3">
      <c r="A40" s="91" t="s">
        <v>70</v>
      </c>
      <c r="B40" s="92"/>
      <c r="C40" s="93"/>
      <c r="D40"/>
      <c r="E40" s="94"/>
      <c r="G40" s="94"/>
      <c r="H40" s="95" t="s">
        <v>71</v>
      </c>
      <c r="I40" s="96"/>
      <c r="J40" s="96"/>
      <c r="K40" s="97"/>
      <c r="L40" s="98"/>
      <c r="M40" s="98"/>
      <c r="N40" s="12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</row>
    <row r="41" spans="1:183" ht="45" x14ac:dyDescent="0.25">
      <c r="A41" s="99" t="s">
        <v>72</v>
      </c>
      <c r="B41" s="100" t="s">
        <v>73</v>
      </c>
      <c r="E41" s="101" t="s">
        <v>74</v>
      </c>
      <c r="F41" s="102">
        <v>10</v>
      </c>
      <c r="G41" s="94"/>
      <c r="H41" s="28" t="s">
        <v>75</v>
      </c>
      <c r="I41" s="28"/>
      <c r="J41" s="28"/>
      <c r="K41" s="103">
        <f>+K31</f>
        <v>5.5555555555555554</v>
      </c>
      <c r="L41" s="104"/>
      <c r="M41" s="104"/>
      <c r="N41" s="104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</row>
    <row r="42" spans="1:183" ht="60" x14ac:dyDescent="0.25">
      <c r="A42" s="105" t="s">
        <v>76</v>
      </c>
      <c r="B42" s="100" t="s">
        <v>77</v>
      </c>
      <c r="E42" s="101" t="s">
        <v>78</v>
      </c>
      <c r="F42" s="102">
        <f>F41*50</f>
        <v>500</v>
      </c>
      <c r="G42" s="94"/>
      <c r="H42" s="106" t="s">
        <v>79</v>
      </c>
      <c r="I42" s="106"/>
      <c r="J42" s="106"/>
      <c r="K42" s="104" t="s">
        <v>80</v>
      </c>
      <c r="L42" s="104"/>
      <c r="M42" s="104"/>
      <c r="N42" s="104"/>
      <c r="O42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</row>
    <row r="43" spans="1:183" ht="31.5" customHeight="1" x14ac:dyDescent="0.25">
      <c r="A43" s="107" t="s">
        <v>81</v>
      </c>
      <c r="B43" s="100">
        <v>10</v>
      </c>
      <c r="C43" s="4" t="str">
        <f>+B43/20&amp;" ha"</f>
        <v>0.5 ha</v>
      </c>
      <c r="E43" s="101" t="s">
        <v>82</v>
      </c>
      <c r="F43" s="102">
        <v>8.5</v>
      </c>
      <c r="H43" s="106"/>
      <c r="I43" s="106"/>
      <c r="J43" s="106"/>
      <c r="K43" s="104"/>
      <c r="L43" s="104"/>
      <c r="M43" s="104"/>
      <c r="N43" s="104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</row>
    <row r="44" spans="1:183" ht="33.75" customHeight="1" x14ac:dyDescent="0.25">
      <c r="A44" s="107" t="s">
        <v>83</v>
      </c>
      <c r="B44" s="100">
        <f>+B45/25</f>
        <v>2.4</v>
      </c>
      <c r="E44" s="101" t="s">
        <v>84</v>
      </c>
      <c r="F44" s="102">
        <f>+F45/50</f>
        <v>9.1999999999999993</v>
      </c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</row>
    <row r="45" spans="1:183" ht="45" x14ac:dyDescent="0.25">
      <c r="A45" s="107" t="s">
        <v>85</v>
      </c>
      <c r="B45" s="100">
        <f>+B46/B43</f>
        <v>60</v>
      </c>
      <c r="C45"/>
      <c r="E45" s="101" t="s">
        <v>86</v>
      </c>
      <c r="F45" s="102">
        <v>460</v>
      </c>
      <c r="R45" s="21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</row>
    <row r="46" spans="1:183" ht="45" x14ac:dyDescent="0.25">
      <c r="A46" s="107" t="s">
        <v>87</v>
      </c>
      <c r="B46" s="108">
        <v>600</v>
      </c>
      <c r="C46" s="109">
        <f>+B46*2</f>
        <v>1200</v>
      </c>
      <c r="D46" s="109" t="s">
        <v>88</v>
      </c>
      <c r="E46" s="101" t="s">
        <v>89</v>
      </c>
      <c r="F46" s="102">
        <v>15</v>
      </c>
      <c r="R46" s="21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</row>
    <row r="47" spans="1:183" ht="30" x14ac:dyDescent="0.2">
      <c r="A47" s="107" t="s">
        <v>90</v>
      </c>
      <c r="B47" s="108">
        <v>10</v>
      </c>
      <c r="C47" s="110"/>
      <c r="D47" s="111"/>
      <c r="E47" s="111"/>
      <c r="R47" s="21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</row>
    <row r="48" spans="1:183" ht="30" x14ac:dyDescent="0.2">
      <c r="A48" s="112" t="s">
        <v>91</v>
      </c>
      <c r="B48" s="113">
        <v>8</v>
      </c>
      <c r="C48" s="109">
        <f>+B48*2</f>
        <v>16</v>
      </c>
      <c r="D48" s="109" t="s">
        <v>88</v>
      </c>
      <c r="E48" s="111"/>
      <c r="R48" s="21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</row>
    <row r="49" spans="1:183" ht="15" x14ac:dyDescent="0.25">
      <c r="A49" s="114"/>
      <c r="B49" s="115"/>
      <c r="C49" s="111"/>
      <c r="F49" s="111"/>
      <c r="G49" s="111"/>
      <c r="H49" s="111"/>
      <c r="I49" s="111"/>
      <c r="J49" s="111"/>
      <c r="K49" s="111"/>
      <c r="L49" s="111"/>
      <c r="M49" s="111"/>
      <c r="N49" s="111"/>
      <c r="R49" s="21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</row>
    <row r="50" spans="1:183" ht="15.75" thickBot="1" x14ac:dyDescent="0.3">
      <c r="A50" s="91" t="s">
        <v>92</v>
      </c>
      <c r="B50" s="92"/>
      <c r="C50" s="93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R50" s="21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</row>
    <row r="51" spans="1:183" x14ac:dyDescent="0.2">
      <c r="A51" s="100" t="s">
        <v>93</v>
      </c>
      <c r="B51" s="100">
        <v>15</v>
      </c>
      <c r="C51" s="100">
        <f>+(B51*C52)/B52</f>
        <v>33</v>
      </c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R51" s="21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</row>
    <row r="52" spans="1:183" x14ac:dyDescent="0.2">
      <c r="A52" s="100" t="s">
        <v>94</v>
      </c>
      <c r="B52" s="100">
        <v>20</v>
      </c>
      <c r="C52" s="100">
        <v>44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R52" s="21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</row>
    <row r="53" spans="1:183" ht="15" x14ac:dyDescent="0.25">
      <c r="A53" s="114"/>
      <c r="B53" s="115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R53" s="21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</row>
    <row r="54" spans="1:183" ht="15" x14ac:dyDescent="0.25">
      <c r="A54" s="116" t="s">
        <v>95</v>
      </c>
      <c r="B54" s="109"/>
      <c r="C54" s="100"/>
      <c r="D54" s="117" t="s">
        <v>96</v>
      </c>
      <c r="E54" s="117" t="s">
        <v>97</v>
      </c>
      <c r="F54" s="117" t="s">
        <v>98</v>
      </c>
      <c r="G54" s="117" t="s">
        <v>99</v>
      </c>
      <c r="I54" s="111"/>
      <c r="J54" s="111"/>
      <c r="K54" s="111"/>
      <c r="L54" s="111"/>
      <c r="M54" s="111"/>
      <c r="N54" s="111"/>
      <c r="R54" s="21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</row>
    <row r="55" spans="1:183" ht="15" x14ac:dyDescent="0.25">
      <c r="A55" s="116" t="s">
        <v>100</v>
      </c>
      <c r="B55" s="109">
        <v>7.7539999999999996</v>
      </c>
      <c r="C55" s="100" t="s">
        <v>93</v>
      </c>
      <c r="D55" s="117">
        <v>4.5</v>
      </c>
      <c r="E55" s="117">
        <v>0.2</v>
      </c>
      <c r="F55" s="117">
        <v>0.35199999999999998</v>
      </c>
      <c r="G55" s="118">
        <f>+B55-E55-F55</f>
        <v>7.2019999999999991</v>
      </c>
      <c r="I55" s="111"/>
      <c r="J55" s="111"/>
      <c r="K55" s="111"/>
      <c r="L55" s="111"/>
      <c r="M55" s="111"/>
      <c r="N55" s="111"/>
      <c r="R55" s="21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</row>
    <row r="56" spans="1:183" ht="15" x14ac:dyDescent="0.25">
      <c r="A56" s="116" t="s">
        <v>101</v>
      </c>
      <c r="B56" s="109">
        <v>0.88600000000000001</v>
      </c>
      <c r="C56" s="100" t="s">
        <v>93</v>
      </c>
      <c r="D56" s="117"/>
      <c r="E56" s="117"/>
      <c r="F56" s="117"/>
      <c r="G56" s="118">
        <f>+B56-E56-F56</f>
        <v>0.88600000000000001</v>
      </c>
      <c r="I56" s="111"/>
      <c r="J56" s="111"/>
      <c r="K56" s="111"/>
      <c r="L56" s="111"/>
      <c r="M56" s="111"/>
      <c r="N56" s="111"/>
      <c r="R56" s="21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</row>
    <row r="57" spans="1:183" ht="15" x14ac:dyDescent="0.25">
      <c r="A57" s="116" t="s">
        <v>102</v>
      </c>
      <c r="B57" s="109">
        <v>0.91800000000000004</v>
      </c>
      <c r="C57" s="100" t="s">
        <v>93</v>
      </c>
      <c r="D57" s="117"/>
      <c r="E57" s="119">
        <f>(+E55/B55)*B57</f>
        <v>2.3678101624967762E-2</v>
      </c>
      <c r="F57" s="117"/>
      <c r="G57" s="120">
        <f>+B57-E57-F57</f>
        <v>0.89432189837503229</v>
      </c>
      <c r="I57" s="111"/>
      <c r="J57" s="111"/>
      <c r="K57" s="111"/>
      <c r="L57" s="111"/>
      <c r="M57" s="111"/>
      <c r="N57" s="111"/>
      <c r="R57" s="21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</row>
    <row r="58" spans="1:183" x14ac:dyDescent="0.2">
      <c r="A58" s="28" t="s">
        <v>103</v>
      </c>
      <c r="B58" s="109">
        <f>+B57-B56</f>
        <v>3.2000000000000028E-2</v>
      </c>
      <c r="C58" s="100"/>
      <c r="D58" s="117"/>
      <c r="E58" s="117"/>
      <c r="F58" s="117"/>
      <c r="G58" s="121">
        <f>+G57-G56</f>
        <v>8.3218983750322773E-3</v>
      </c>
      <c r="I58" s="111"/>
      <c r="J58" s="111"/>
      <c r="K58" s="111"/>
      <c r="L58" s="111"/>
      <c r="M58" s="111"/>
      <c r="N58" s="111"/>
      <c r="R58" s="21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</row>
    <row r="59" spans="1:183" x14ac:dyDescent="0.2">
      <c r="A59" s="28"/>
      <c r="B59" s="122">
        <f>+B58/B56</f>
        <v>3.6117381489842018E-2</v>
      </c>
      <c r="C59" s="100"/>
      <c r="D59" s="117"/>
      <c r="E59" s="117"/>
      <c r="F59" s="117"/>
      <c r="G59" s="122">
        <f>+G58/G56</f>
        <v>9.3926618228355272E-3</v>
      </c>
      <c r="I59" s="111"/>
      <c r="J59" s="111"/>
      <c r="K59" s="111"/>
      <c r="L59" s="111"/>
      <c r="M59" s="111"/>
      <c r="N59" s="111"/>
      <c r="R59" s="21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</row>
    <row r="60" spans="1:183" x14ac:dyDescent="0.2">
      <c r="C60" s="21"/>
      <c r="D60" s="20"/>
      <c r="F60" s="20"/>
      <c r="G60" s="20"/>
      <c r="I60" s="111"/>
      <c r="J60" s="111"/>
      <c r="K60" s="111"/>
      <c r="L60" s="111"/>
      <c r="M60" s="111"/>
      <c r="N60" s="111"/>
      <c r="R60" s="21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</row>
    <row r="61" spans="1:183" ht="15" x14ac:dyDescent="0.25">
      <c r="A61" s="116" t="s">
        <v>104</v>
      </c>
      <c r="B61" s="109">
        <v>0.67200000000000004</v>
      </c>
      <c r="C61" s="100" t="s">
        <v>93</v>
      </c>
      <c r="D61" s="117"/>
      <c r="E61" s="119"/>
      <c r="F61" s="117">
        <v>5.8000000000000003E-2</v>
      </c>
      <c r="G61" s="120">
        <f>+B61-E61-F61</f>
        <v>0.61399999999999999</v>
      </c>
      <c r="I61" s="111"/>
      <c r="J61" s="111"/>
      <c r="K61" s="111"/>
      <c r="L61" s="111"/>
      <c r="M61" s="111"/>
      <c r="N61" s="111"/>
      <c r="R61" s="21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</row>
    <row r="62" spans="1:183" ht="15" x14ac:dyDescent="0.25">
      <c r="A62" s="116" t="s">
        <v>105</v>
      </c>
      <c r="B62" s="109">
        <v>0.61399999999999999</v>
      </c>
      <c r="C62" s="100"/>
      <c r="D62" s="117"/>
      <c r="E62" s="117"/>
      <c r="F62" s="117">
        <v>5.8000000000000003E-2</v>
      </c>
      <c r="G62" s="120">
        <f>+B62-E62-F62</f>
        <v>0.55599999999999994</v>
      </c>
      <c r="I62" s="111"/>
      <c r="J62" s="111"/>
      <c r="K62" s="111"/>
      <c r="L62" s="111"/>
      <c r="M62" s="111"/>
      <c r="N62" s="111"/>
      <c r="R62" s="21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</row>
    <row r="63" spans="1:183" ht="15" x14ac:dyDescent="0.25">
      <c r="A63" s="114"/>
      <c r="B63" s="115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R63" s="21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</row>
    <row r="64" spans="1:183" x14ac:dyDescent="0.2">
      <c r="A64" s="123" t="s">
        <v>106</v>
      </c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5"/>
      <c r="R64" s="21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</row>
    <row r="65" spans="1:183" ht="15.6" customHeight="1" x14ac:dyDescent="0.2">
      <c r="A65" s="126" t="s">
        <v>107</v>
      </c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8"/>
      <c r="R65" s="21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</row>
    <row r="66" spans="1:183" ht="30.6" customHeight="1" x14ac:dyDescent="0.2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8"/>
      <c r="R66" s="21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</row>
    <row r="67" spans="1:183" ht="30.6" customHeight="1" x14ac:dyDescent="0.2">
      <c r="A67" s="126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8"/>
      <c r="R67" s="21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</row>
    <row r="68" spans="1:183" ht="15.75" thickBot="1" x14ac:dyDescent="0.3">
      <c r="A68" s="13"/>
      <c r="B68" s="14"/>
      <c r="C68" s="14"/>
      <c r="D68" s="129"/>
      <c r="E68" s="14"/>
      <c r="F68" s="14"/>
      <c r="G68" s="14"/>
      <c r="H68" s="14"/>
      <c r="I68" s="14"/>
      <c r="J68" s="14"/>
      <c r="K68" s="14"/>
      <c r="L68" s="14"/>
      <c r="M68" s="14"/>
      <c r="N68" s="16"/>
      <c r="R68" s="21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</row>
    <row r="69" spans="1:183" ht="15" x14ac:dyDescent="0.25">
      <c r="A69" s="130" t="s">
        <v>108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2"/>
      <c r="O69" s="20"/>
      <c r="P69" s="20"/>
      <c r="Q69" s="20"/>
      <c r="R69" s="21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</row>
    <row r="70" spans="1:183" x14ac:dyDescent="0.2">
      <c r="A70" s="133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5"/>
      <c r="M70" s="135"/>
      <c r="N70" s="136"/>
      <c r="R70" s="21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</row>
    <row r="71" spans="1:183" ht="15" x14ac:dyDescent="0.2">
      <c r="A71" s="137" t="s">
        <v>109</v>
      </c>
      <c r="B71" s="137"/>
      <c r="C71" s="137"/>
      <c r="D71" s="138" t="s">
        <v>110</v>
      </c>
      <c r="E71" s="139"/>
      <c r="F71" s="20"/>
      <c r="N71" s="140"/>
      <c r="R71" s="21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</row>
    <row r="72" spans="1:183" x14ac:dyDescent="0.2">
      <c r="A72" s="141" t="s">
        <v>111</v>
      </c>
      <c r="B72" s="142"/>
      <c r="C72" s="143"/>
      <c r="D72" s="144" t="s">
        <v>112</v>
      </c>
      <c r="E72" s="145"/>
      <c r="F72" s="20"/>
      <c r="N72" s="140"/>
      <c r="R72" s="21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</row>
    <row r="73" spans="1:183" x14ac:dyDescent="0.2">
      <c r="A73" s="141" t="s">
        <v>113</v>
      </c>
      <c r="B73" s="142"/>
      <c r="C73" s="143"/>
      <c r="D73" s="144" t="s">
        <v>114</v>
      </c>
      <c r="E73" s="145"/>
      <c r="F73" s="20"/>
      <c r="N73" s="140"/>
      <c r="R73" s="21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</row>
    <row r="74" spans="1:183" ht="69.75" customHeight="1" x14ac:dyDescent="0.2">
      <c r="A74" s="141" t="s">
        <v>115</v>
      </c>
      <c r="B74" s="142"/>
      <c r="C74" s="143"/>
      <c r="D74" s="144" t="s">
        <v>116</v>
      </c>
      <c r="E74" s="145"/>
      <c r="F74" s="146"/>
      <c r="N74" s="140"/>
      <c r="R74" s="21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</row>
    <row r="75" spans="1:183" x14ac:dyDescent="0.2">
      <c r="A75" s="141" t="s">
        <v>117</v>
      </c>
      <c r="B75" s="142"/>
      <c r="C75" s="143"/>
      <c r="D75" s="147">
        <f>+B46*2</f>
        <v>1200</v>
      </c>
      <c r="E75" s="148"/>
      <c r="F75" s="20"/>
      <c r="N75" s="140"/>
      <c r="R75" s="21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</row>
    <row r="76" spans="1:183" x14ac:dyDescent="0.2">
      <c r="A76" s="149" t="s">
        <v>118</v>
      </c>
      <c r="B76" s="149"/>
      <c r="C76" s="149"/>
      <c r="D76" s="150" t="s">
        <v>77</v>
      </c>
      <c r="E76" s="151"/>
      <c r="F76" s="20"/>
      <c r="N76" s="140"/>
      <c r="R76" s="21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</row>
    <row r="77" spans="1:183" x14ac:dyDescent="0.2">
      <c r="A77" s="149" t="s">
        <v>119</v>
      </c>
      <c r="B77" s="149"/>
      <c r="C77" s="149"/>
      <c r="D77" s="144" t="s">
        <v>120</v>
      </c>
      <c r="E77" s="151"/>
      <c r="F77" s="4" t="s">
        <v>121</v>
      </c>
      <c r="N77" s="140"/>
      <c r="R77" s="21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</row>
    <row r="78" spans="1:183" ht="15" x14ac:dyDescent="0.2">
      <c r="A78" s="141" t="s">
        <v>122</v>
      </c>
      <c r="B78" s="142"/>
      <c r="C78" s="143"/>
      <c r="D78" s="150" t="s">
        <v>123</v>
      </c>
      <c r="E78" s="151"/>
      <c r="G78" s="152"/>
      <c r="H78" s="152"/>
      <c r="I78" s="152"/>
      <c r="J78" s="153"/>
      <c r="K78" s="154"/>
      <c r="N78" s="140"/>
      <c r="R78" s="21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</row>
    <row r="79" spans="1:183" ht="15" x14ac:dyDescent="0.2">
      <c r="A79" s="141" t="s">
        <v>124</v>
      </c>
      <c r="B79" s="142"/>
      <c r="C79" s="143"/>
      <c r="D79" s="150" t="s">
        <v>125</v>
      </c>
      <c r="E79" s="151"/>
      <c r="G79" s="152"/>
      <c r="H79" s="152"/>
      <c r="I79" s="152"/>
      <c r="J79" s="153"/>
      <c r="K79" s="154"/>
      <c r="N79" s="140"/>
      <c r="R79" s="21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</row>
    <row r="80" spans="1:183" ht="15" x14ac:dyDescent="0.2">
      <c r="A80" s="141" t="s">
        <v>126</v>
      </c>
      <c r="B80" s="142"/>
      <c r="C80" s="143"/>
      <c r="D80" s="150" t="s">
        <v>127</v>
      </c>
      <c r="E80" s="151"/>
      <c r="G80" s="152"/>
      <c r="H80" s="152"/>
      <c r="I80" s="152"/>
      <c r="J80" s="153"/>
      <c r="K80" s="154"/>
      <c r="N80" s="140"/>
      <c r="R80" s="21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</row>
    <row r="81" spans="1:183" ht="15" x14ac:dyDescent="0.2">
      <c r="A81" s="149" t="s">
        <v>128</v>
      </c>
      <c r="B81" s="149"/>
      <c r="C81" s="149"/>
      <c r="D81" s="155" t="s">
        <v>129</v>
      </c>
      <c r="E81" s="156"/>
      <c r="G81" s="152"/>
      <c r="H81" s="152"/>
      <c r="I81" s="152"/>
      <c r="J81" s="153"/>
      <c r="K81" s="154"/>
      <c r="N81" s="140"/>
      <c r="R81" s="21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</row>
    <row r="82" spans="1:183" x14ac:dyDescent="0.2">
      <c r="A82" s="157" t="s">
        <v>106</v>
      </c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9"/>
      <c r="R82" s="21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</row>
    <row r="83" spans="1:183" ht="29.1" customHeight="1" x14ac:dyDescent="0.2">
      <c r="A83" s="160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2"/>
      <c r="R83" s="21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</row>
    <row r="84" spans="1:183" ht="32.25" customHeight="1" x14ac:dyDescent="0.2">
      <c r="A84" s="163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5"/>
      <c r="R84" s="21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</row>
    <row r="85" spans="1:183" ht="15" x14ac:dyDescent="0.2">
      <c r="A85" s="152"/>
      <c r="B85" s="152"/>
      <c r="C85" s="152"/>
      <c r="D85" s="166"/>
      <c r="E85" s="166"/>
      <c r="F85" s="20"/>
      <c r="G85" s="152"/>
      <c r="H85" s="152"/>
      <c r="I85" s="152"/>
      <c r="J85" s="153"/>
      <c r="K85" s="154"/>
      <c r="R85" s="21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</row>
    <row r="86" spans="1:183" ht="15.75" thickBot="1" x14ac:dyDescent="0.3">
      <c r="A86" s="167" t="s">
        <v>130</v>
      </c>
      <c r="B86" s="168"/>
      <c r="C86" s="168"/>
      <c r="D86" s="168"/>
      <c r="G86" s="152"/>
      <c r="H86" s="152"/>
      <c r="I86" s="152"/>
      <c r="J86" s="153"/>
      <c r="K86" s="154"/>
      <c r="R86" s="21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</row>
    <row r="87" spans="1:183" ht="14.45" customHeight="1" x14ac:dyDescent="0.2">
      <c r="A87" s="169" t="s">
        <v>131</v>
      </c>
      <c r="B87" s="170" t="s">
        <v>132</v>
      </c>
      <c r="C87" s="170" t="s">
        <v>133</v>
      </c>
      <c r="D87" s="171" t="s">
        <v>134</v>
      </c>
      <c r="R87" s="21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</row>
    <row r="88" spans="1:183" ht="33" customHeight="1" thickBot="1" x14ac:dyDescent="0.25">
      <c r="A88" s="172"/>
      <c r="B88" s="173"/>
      <c r="C88" s="173"/>
      <c r="D88" s="174"/>
      <c r="R88" s="21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</row>
    <row r="89" spans="1:183" x14ac:dyDescent="0.2">
      <c r="A89" s="175" t="s">
        <v>41</v>
      </c>
      <c r="B89" s="176">
        <f t="shared" ref="B89:B94" si="4">+$B$95*D89</f>
        <v>8.5</v>
      </c>
      <c r="C89" s="176">
        <f>B89/20</f>
        <v>0.42499999999999999</v>
      </c>
      <c r="D89" s="177">
        <v>0.85</v>
      </c>
      <c r="R89" s="21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</row>
    <row r="90" spans="1:183" x14ac:dyDescent="0.2">
      <c r="A90" s="178" t="s">
        <v>135</v>
      </c>
      <c r="B90" s="176">
        <f t="shared" si="4"/>
        <v>0.4</v>
      </c>
      <c r="C90" s="176">
        <f>B90/20</f>
        <v>0.02</v>
      </c>
      <c r="D90" s="177">
        <v>0.04</v>
      </c>
      <c r="R90" s="21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</row>
    <row r="91" spans="1:183" x14ac:dyDescent="0.2">
      <c r="A91" s="178" t="s">
        <v>136</v>
      </c>
      <c r="B91" s="176">
        <f t="shared" si="4"/>
        <v>0.1</v>
      </c>
      <c r="C91" s="176">
        <f t="shared" ref="C91:C93" si="5">B91/20</f>
        <v>5.0000000000000001E-3</v>
      </c>
      <c r="D91" s="177">
        <v>0.01</v>
      </c>
      <c r="R91" s="21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</row>
    <row r="92" spans="1:183" x14ac:dyDescent="0.2">
      <c r="A92" s="178" t="s">
        <v>137</v>
      </c>
      <c r="B92" s="176">
        <f t="shared" si="4"/>
        <v>0.4</v>
      </c>
      <c r="C92" s="176">
        <f t="shared" si="5"/>
        <v>0.02</v>
      </c>
      <c r="D92" s="177">
        <v>0.04</v>
      </c>
      <c r="R92" s="21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</row>
    <row r="93" spans="1:183" x14ac:dyDescent="0.2">
      <c r="A93" s="178" t="s">
        <v>138</v>
      </c>
      <c r="B93" s="176">
        <f t="shared" si="4"/>
        <v>0.5</v>
      </c>
      <c r="C93" s="176">
        <f t="shared" si="5"/>
        <v>2.5000000000000001E-2</v>
      </c>
      <c r="D93" s="177">
        <v>0.05</v>
      </c>
      <c r="R93" s="21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</row>
    <row r="94" spans="1:183" ht="15" x14ac:dyDescent="0.2">
      <c r="A94" s="178" t="s">
        <v>139</v>
      </c>
      <c r="B94" s="176">
        <f t="shared" si="4"/>
        <v>0.1</v>
      </c>
      <c r="C94" s="176">
        <f>B94/20</f>
        <v>5.0000000000000001E-3</v>
      </c>
      <c r="D94" s="177">
        <v>0.01</v>
      </c>
      <c r="J94" s="153"/>
      <c r="K94" s="154"/>
      <c r="R94" s="21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</row>
    <row r="95" spans="1:183" ht="15" x14ac:dyDescent="0.25">
      <c r="A95" s="179" t="s">
        <v>60</v>
      </c>
      <c r="B95" s="180">
        <v>10</v>
      </c>
      <c r="C95" s="180">
        <f>SUM(C89:C94)</f>
        <v>0.5</v>
      </c>
      <c r="D95" s="181">
        <f>SUM(D89:D94)</f>
        <v>1</v>
      </c>
      <c r="J95" s="153"/>
      <c r="K95" s="154"/>
      <c r="R95" s="21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</row>
    <row r="96" spans="1:183" ht="15" x14ac:dyDescent="0.2">
      <c r="J96" s="153"/>
      <c r="K96" s="154"/>
      <c r="R96" s="21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</row>
    <row r="97" spans="1:183" x14ac:dyDescent="0.2">
      <c r="A97" s="157" t="s">
        <v>140</v>
      </c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9"/>
      <c r="R97" s="21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</row>
    <row r="98" spans="1:183" ht="14.25" customHeight="1" x14ac:dyDescent="0.2">
      <c r="A98" s="182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R98" s="21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</row>
    <row r="99" spans="1:183" x14ac:dyDescent="0.2">
      <c r="A99" s="182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R99" s="21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</row>
    <row r="100" spans="1:183" ht="15" customHeight="1" x14ac:dyDescent="0.2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R100" s="21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</row>
    <row r="101" spans="1:183" ht="28.5" customHeight="1" x14ac:dyDescent="0.2">
      <c r="A101" s="183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R101" s="21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</row>
    <row r="102" spans="1:183" ht="15" x14ac:dyDescent="0.25">
      <c r="A102" s="184" t="s">
        <v>141</v>
      </c>
      <c r="B102" s="185"/>
      <c r="C102" s="185"/>
      <c r="D102" s="185"/>
      <c r="E102" s="166"/>
      <c r="F102" s="20"/>
      <c r="G102" s="152"/>
      <c r="H102" s="152"/>
      <c r="I102" s="152"/>
      <c r="J102" s="153"/>
      <c r="K102" s="154"/>
      <c r="R102" s="21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</row>
    <row r="103" spans="1:183" ht="15" x14ac:dyDescent="0.25">
      <c r="A103" s="186" t="s">
        <v>142</v>
      </c>
      <c r="B103" s="186"/>
      <c r="C103" s="152"/>
      <c r="D103" s="187"/>
      <c r="E103" s="166"/>
      <c r="F103" s="20"/>
      <c r="G103" s="152"/>
      <c r="H103" s="152"/>
      <c r="I103" s="152"/>
      <c r="J103" s="153"/>
      <c r="K103" s="154"/>
      <c r="R103" s="21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</row>
    <row r="104" spans="1:183" ht="15" x14ac:dyDescent="0.2">
      <c r="A104" s="188" t="s">
        <v>143</v>
      </c>
      <c r="B104" s="189">
        <v>500</v>
      </c>
      <c r="C104" s="152"/>
      <c r="D104" s="187"/>
      <c r="E104" s="166"/>
      <c r="F104" s="20"/>
      <c r="G104" s="152"/>
      <c r="H104" s="152"/>
      <c r="I104" s="152"/>
      <c r="J104" s="153"/>
      <c r="K104" s="154"/>
      <c r="R104" s="21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</row>
    <row r="105" spans="1:183" ht="15" x14ac:dyDescent="0.2">
      <c r="A105" s="188" t="s">
        <v>144</v>
      </c>
      <c r="B105" s="189">
        <v>50</v>
      </c>
      <c r="C105" s="152"/>
      <c r="D105" s="187"/>
      <c r="E105" s="166"/>
      <c r="F105" s="20"/>
      <c r="G105" s="152"/>
      <c r="H105" s="152"/>
      <c r="I105" s="152"/>
      <c r="J105" s="153"/>
      <c r="K105" s="154"/>
      <c r="R105" s="21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</row>
    <row r="106" spans="1:183" ht="28.5" x14ac:dyDescent="0.25">
      <c r="A106" s="188" t="s">
        <v>145</v>
      </c>
      <c r="B106" s="189">
        <v>0.8</v>
      </c>
      <c r="C106"/>
      <c r="D106"/>
      <c r="E106"/>
      <c r="F106"/>
      <c r="G106"/>
      <c r="H106" s="152"/>
      <c r="I106" s="152"/>
      <c r="J106" s="153"/>
      <c r="K106" s="154"/>
      <c r="R106" s="21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</row>
    <row r="107" spans="1:183" ht="15" x14ac:dyDescent="0.25">
      <c r="A107" s="188" t="s">
        <v>146</v>
      </c>
      <c r="B107" s="189">
        <v>5</v>
      </c>
      <c r="C107"/>
      <c r="D107"/>
      <c r="E107"/>
      <c r="F107"/>
      <c r="G107"/>
      <c r="H107" s="152"/>
      <c r="I107" s="152"/>
      <c r="J107" s="153"/>
      <c r="K107" s="154"/>
      <c r="R107" s="21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</row>
    <row r="108" spans="1:183" ht="15" x14ac:dyDescent="0.2">
      <c r="A108" s="188" t="s">
        <v>147</v>
      </c>
      <c r="B108" s="189">
        <v>10</v>
      </c>
      <c r="C108" s="152"/>
      <c r="D108" s="187"/>
      <c r="E108" s="166"/>
      <c r="F108" s="20"/>
      <c r="G108" s="152"/>
      <c r="H108" s="152"/>
      <c r="I108" s="152"/>
      <c r="J108" s="153"/>
      <c r="K108" s="154"/>
      <c r="R108" s="21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</row>
    <row r="109" spans="1:183" ht="15" x14ac:dyDescent="0.2">
      <c r="A109" s="188" t="s">
        <v>148</v>
      </c>
      <c r="B109" s="189">
        <f>B107*B108</f>
        <v>50</v>
      </c>
      <c r="C109" s="152"/>
      <c r="D109" s="187"/>
      <c r="E109" s="166"/>
      <c r="F109" s="20"/>
      <c r="G109" s="152"/>
      <c r="H109" s="152"/>
      <c r="I109" s="152"/>
      <c r="J109" s="153"/>
      <c r="K109" s="154"/>
      <c r="R109" s="21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</row>
    <row r="110" spans="1:183" ht="15" x14ac:dyDescent="0.2">
      <c r="A110" s="188" t="s">
        <v>149</v>
      </c>
      <c r="B110" s="189">
        <f>B109*B113</f>
        <v>250</v>
      </c>
      <c r="C110" s="152"/>
      <c r="D110" s="166"/>
      <c r="E110" s="166"/>
      <c r="F110" s="20"/>
      <c r="G110" s="152"/>
      <c r="H110" s="152"/>
      <c r="I110" s="152"/>
      <c r="J110" s="153"/>
      <c r="K110" s="154"/>
      <c r="R110" s="21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</row>
    <row r="111" spans="1:183" ht="15" x14ac:dyDescent="0.2">
      <c r="A111" s="188" t="s">
        <v>150</v>
      </c>
      <c r="B111" s="189">
        <v>10</v>
      </c>
      <c r="C111" s="152"/>
      <c r="D111" s="166"/>
      <c r="J111" s="153"/>
      <c r="K111" s="154"/>
      <c r="R111" s="21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</row>
    <row r="112" spans="1:183" ht="28.5" x14ac:dyDescent="0.2">
      <c r="A112" s="188" t="s">
        <v>151</v>
      </c>
      <c r="B112" s="189">
        <f>B110*B111</f>
        <v>2500</v>
      </c>
      <c r="C112" s="152"/>
      <c r="D112" s="166"/>
      <c r="J112" s="153"/>
      <c r="K112" s="154"/>
      <c r="R112" s="21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</row>
    <row r="113" spans="1:183" ht="15" x14ac:dyDescent="0.2">
      <c r="A113" s="188" t="s">
        <v>152</v>
      </c>
      <c r="B113" s="189">
        <v>5</v>
      </c>
      <c r="C113" s="152"/>
      <c r="D113" s="166"/>
      <c r="J113" s="153"/>
      <c r="K113" s="154"/>
      <c r="R113" s="21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</row>
    <row r="114" spans="1:183" ht="78" customHeight="1" x14ac:dyDescent="0.25">
      <c r="A114" s="190" t="s">
        <v>153</v>
      </c>
      <c r="B114" s="191"/>
      <c r="C114" s="152"/>
      <c r="D114" s="192" t="s">
        <v>154</v>
      </c>
      <c r="E114" s="192" t="s">
        <v>155</v>
      </c>
      <c r="F114" s="193" t="s">
        <v>156</v>
      </c>
      <c r="G114" s="194"/>
      <c r="H114" s="195" t="s">
        <v>157</v>
      </c>
      <c r="I114" s="196"/>
      <c r="J114" s="197" t="s">
        <v>158</v>
      </c>
      <c r="K114" s="154"/>
      <c r="R114" s="21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</row>
    <row r="115" spans="1:183" ht="42.75" x14ac:dyDescent="0.2">
      <c r="A115" s="188" t="s">
        <v>159</v>
      </c>
      <c r="B115" s="198">
        <v>1</v>
      </c>
      <c r="C115" s="152" t="s">
        <v>160</v>
      </c>
      <c r="D115" s="192" t="s">
        <v>161</v>
      </c>
      <c r="E115" s="199">
        <v>35</v>
      </c>
      <c r="F115" s="196" t="s">
        <v>162</v>
      </c>
      <c r="H115" s="188" t="s">
        <v>163</v>
      </c>
      <c r="I115" s="200" t="s">
        <v>164</v>
      </c>
      <c r="J115" s="199">
        <v>15</v>
      </c>
      <c r="K115" s="154"/>
      <c r="R115" s="21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</row>
    <row r="116" spans="1:183" ht="42.75" x14ac:dyDescent="0.2">
      <c r="A116" s="188" t="s">
        <v>165</v>
      </c>
      <c r="B116" s="198">
        <v>1</v>
      </c>
      <c r="C116" s="152" t="s">
        <v>166</v>
      </c>
      <c r="D116" s="192" t="s">
        <v>167</v>
      </c>
      <c r="E116" s="199">
        <v>15</v>
      </c>
      <c r="F116" s="196" t="s">
        <v>168</v>
      </c>
      <c r="H116" s="188" t="s">
        <v>163</v>
      </c>
      <c r="I116" s="188" t="s">
        <v>169</v>
      </c>
      <c r="J116" s="199">
        <v>25</v>
      </c>
      <c r="K116" s="154"/>
      <c r="R116" s="21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</row>
    <row r="117" spans="1:183" ht="42.75" x14ac:dyDescent="0.2">
      <c r="A117" s="188" t="s">
        <v>170</v>
      </c>
      <c r="B117" s="198">
        <v>1</v>
      </c>
      <c r="C117" s="152" t="s">
        <v>171</v>
      </c>
      <c r="D117" s="192" t="s">
        <v>172</v>
      </c>
      <c r="E117" s="199">
        <v>30</v>
      </c>
      <c r="F117" s="117" t="s">
        <v>173</v>
      </c>
      <c r="G117" s="152"/>
      <c r="H117" s="188" t="s">
        <v>163</v>
      </c>
      <c r="I117" s="200" t="s">
        <v>164</v>
      </c>
      <c r="J117" s="199">
        <v>30</v>
      </c>
      <c r="K117" s="154"/>
      <c r="R117" s="21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</row>
    <row r="118" spans="1:183" ht="15" x14ac:dyDescent="0.25">
      <c r="A118" s="188" t="s">
        <v>174</v>
      </c>
      <c r="B118" s="198">
        <v>2</v>
      </c>
      <c r="C118" s="152" t="s">
        <v>175</v>
      </c>
      <c r="D118" s="192" t="s">
        <v>176</v>
      </c>
      <c r="E118" s="199">
        <v>60</v>
      </c>
      <c r="F118" s="117" t="s">
        <v>177</v>
      </c>
      <c r="G118" s="152" t="s">
        <v>178</v>
      </c>
      <c r="H118"/>
      <c r="I118"/>
      <c r="J118"/>
      <c r="K118" s="154"/>
      <c r="R118" s="21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</row>
    <row r="119" spans="1:183" ht="15" x14ac:dyDescent="0.25">
      <c r="A119" s="188" t="s">
        <v>179</v>
      </c>
      <c r="B119" s="198">
        <v>2</v>
      </c>
      <c r="C119" s="152" t="s">
        <v>180</v>
      </c>
      <c r="D119" s="192" t="s">
        <v>161</v>
      </c>
      <c r="E119" s="199">
        <v>40</v>
      </c>
      <c r="F119" s="117" t="s">
        <v>173</v>
      </c>
      <c r="G119" s="152" t="s">
        <v>181</v>
      </c>
      <c r="H119"/>
      <c r="I119"/>
      <c r="J119"/>
      <c r="K119" s="154"/>
      <c r="R119" s="21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</row>
    <row r="120" spans="1:183" ht="28.5" x14ac:dyDescent="0.25">
      <c r="A120" s="188" t="s">
        <v>182</v>
      </c>
      <c r="B120" s="198">
        <v>2</v>
      </c>
      <c r="C120" s="152" t="s">
        <v>160</v>
      </c>
      <c r="D120" s="192" t="s">
        <v>183</v>
      </c>
      <c r="E120" s="199">
        <v>30</v>
      </c>
      <c r="F120" s="117" t="s">
        <v>173</v>
      </c>
      <c r="G120" s="152"/>
      <c r="H120"/>
      <c r="I120"/>
      <c r="J120"/>
      <c r="K120" s="154"/>
      <c r="R120" s="21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</row>
    <row r="121" spans="1:183" ht="15" x14ac:dyDescent="0.2">
      <c r="B121" s="201" t="s">
        <v>184</v>
      </c>
      <c r="C121" s="152" t="s">
        <v>185</v>
      </c>
      <c r="D121" s="166"/>
      <c r="E121" s="202"/>
      <c r="F121" s="20"/>
      <c r="G121" s="152"/>
      <c r="H121" s="152"/>
      <c r="I121" s="152"/>
      <c r="J121" s="153"/>
      <c r="K121" s="154"/>
      <c r="R121" s="21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</row>
    <row r="122" spans="1:183" ht="15" x14ac:dyDescent="0.2">
      <c r="A122" s="203" t="s">
        <v>186</v>
      </c>
      <c r="B122" s="201" t="s">
        <v>187</v>
      </c>
      <c r="C122" s="204" t="s">
        <v>188</v>
      </c>
      <c r="D122" s="166" t="s">
        <v>189</v>
      </c>
      <c r="E122" s="202"/>
      <c r="F122" s="20"/>
      <c r="G122" s="152"/>
      <c r="H122" s="152"/>
      <c r="I122" s="152"/>
      <c r="J122" s="153"/>
      <c r="K122" s="154"/>
      <c r="R122" s="21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</row>
    <row r="123" spans="1:183" ht="15" x14ac:dyDescent="0.25">
      <c r="A123"/>
      <c r="B123" s="201"/>
      <c r="C123" s="204"/>
      <c r="D123" s="166"/>
      <c r="E123" s="202"/>
      <c r="F123" s="20"/>
      <c r="G123" s="152"/>
      <c r="H123" s="152"/>
      <c r="I123" s="152"/>
      <c r="J123" s="153"/>
      <c r="K123" s="154"/>
      <c r="R123" s="21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</row>
    <row r="124" spans="1:183" x14ac:dyDescent="0.2">
      <c r="A124" s="157" t="s">
        <v>106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9"/>
      <c r="R124" s="21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</row>
    <row r="125" spans="1:183" ht="14.45" customHeight="1" x14ac:dyDescent="0.2">
      <c r="A125" s="46" t="s">
        <v>190</v>
      </c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R125" s="21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</row>
    <row r="126" spans="1:183" ht="30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R126" s="21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</row>
    <row r="127" spans="1:183" ht="1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R127" s="21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</row>
    <row r="128" spans="1:183" x14ac:dyDescent="0.2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1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</row>
    <row r="129" spans="1:183" ht="15" x14ac:dyDescent="0.2">
      <c r="A129" s="205" t="s">
        <v>191</v>
      </c>
      <c r="B129" s="206"/>
      <c r="C129" s="206"/>
      <c r="D129" s="206"/>
      <c r="E129" s="206"/>
      <c r="F129" s="206"/>
      <c r="G129" s="206"/>
      <c r="H129" s="206"/>
      <c r="I129" s="206"/>
      <c r="J129" s="206"/>
      <c r="K129" s="206"/>
      <c r="L129" s="206"/>
      <c r="M129" s="206"/>
      <c r="N129" s="206"/>
      <c r="O129" s="20"/>
      <c r="P129" s="20"/>
      <c r="Q129" s="20"/>
      <c r="R129" s="21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</row>
    <row r="130" spans="1:183" x14ac:dyDescent="0.2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1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</row>
    <row r="131" spans="1:183" ht="15" x14ac:dyDescent="0.2">
      <c r="A131" s="205" t="s">
        <v>192</v>
      </c>
      <c r="B131" s="206"/>
      <c r="C131" s="206"/>
      <c r="D131" s="206"/>
      <c r="E131" s="206"/>
      <c r="F131" s="206"/>
      <c r="G131" s="206"/>
      <c r="H131" s="206"/>
      <c r="I131" s="206"/>
      <c r="J131" s="206"/>
      <c r="K131" s="206"/>
      <c r="L131" s="206"/>
      <c r="M131" s="206"/>
      <c r="N131" s="206"/>
      <c r="O131" s="20"/>
      <c r="P131" s="20"/>
      <c r="Q131" s="20"/>
      <c r="R131" s="21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</row>
    <row r="132" spans="1:183" ht="15" x14ac:dyDescent="0.2">
      <c r="A132" s="207" t="s">
        <v>193</v>
      </c>
      <c r="B132" s="207"/>
      <c r="C132" s="207"/>
      <c r="D132" s="207"/>
      <c r="E132" s="207"/>
      <c r="F132" s="207"/>
      <c r="G132" s="207"/>
      <c r="H132" s="207"/>
      <c r="I132" s="207"/>
      <c r="J132" s="207"/>
      <c r="K132" s="207"/>
      <c r="L132" s="207"/>
      <c r="M132" s="207"/>
      <c r="N132" s="207"/>
      <c r="O132" s="20"/>
      <c r="P132" s="20"/>
      <c r="Q132" s="20"/>
      <c r="R132" s="21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</row>
    <row r="133" spans="1:183" ht="15" x14ac:dyDescent="0.25">
      <c r="A133" s="208" t="s">
        <v>109</v>
      </c>
      <c r="B133" s="208"/>
      <c r="C133" s="208" t="s">
        <v>33</v>
      </c>
      <c r="D133"/>
      <c r="J133" s="21"/>
      <c r="K133" s="21"/>
      <c r="L133" s="20"/>
      <c r="M133" s="20"/>
      <c r="N133" s="20"/>
      <c r="O133" s="20"/>
      <c r="P133" s="20"/>
      <c r="Q133" s="20"/>
      <c r="R133" s="21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</row>
    <row r="134" spans="1:183" ht="38.25" customHeight="1" x14ac:dyDescent="0.25">
      <c r="A134" s="208"/>
      <c r="B134" s="208"/>
      <c r="C134" s="208"/>
      <c r="D134"/>
      <c r="J134" s="20"/>
      <c r="K134" s="20"/>
      <c r="L134" s="20"/>
      <c r="M134" s="20"/>
      <c r="N134" s="20"/>
      <c r="O134" s="20"/>
      <c r="P134" s="20"/>
      <c r="Q134" s="20"/>
      <c r="R134" s="21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</row>
    <row r="135" spans="1:183" ht="15" x14ac:dyDescent="0.25">
      <c r="A135" s="149" t="s">
        <v>194</v>
      </c>
      <c r="B135" s="149"/>
      <c r="C135" s="100">
        <v>10</v>
      </c>
      <c r="D135"/>
      <c r="J135" s="20"/>
      <c r="K135" s="20"/>
      <c r="L135" s="20"/>
      <c r="M135" s="20"/>
      <c r="N135" s="20"/>
      <c r="O135" s="20"/>
      <c r="P135" s="20"/>
      <c r="Q135" s="20"/>
      <c r="R135" s="21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</row>
    <row r="136" spans="1:183" ht="15" x14ac:dyDescent="0.25">
      <c r="A136" s="149" t="s">
        <v>195</v>
      </c>
      <c r="B136" s="149"/>
      <c r="C136" s="100">
        <v>10</v>
      </c>
      <c r="D136"/>
      <c r="J136" s="20"/>
      <c r="K136" s="20"/>
      <c r="L136" s="20"/>
      <c r="M136" s="20"/>
      <c r="N136" s="20"/>
      <c r="O136" s="20"/>
      <c r="P136" s="20"/>
      <c r="Q136" s="20"/>
      <c r="R136" s="21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</row>
    <row r="137" spans="1:183" ht="15" x14ac:dyDescent="0.25">
      <c r="A137" s="208" t="s">
        <v>196</v>
      </c>
      <c r="B137" s="208"/>
      <c r="C137" s="209">
        <f>SUM(C135:C136)</f>
        <v>20</v>
      </c>
      <c r="D137"/>
      <c r="J137" s="20"/>
      <c r="K137" s="20"/>
      <c r="L137" s="20"/>
      <c r="M137" s="20"/>
      <c r="N137" s="20"/>
      <c r="O137" s="20"/>
      <c r="P137" s="20"/>
      <c r="Q137" s="20"/>
      <c r="R137" s="21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</row>
    <row r="138" spans="1:183" ht="15" x14ac:dyDescent="0.25">
      <c r="A138" s="208" t="s">
        <v>197</v>
      </c>
      <c r="B138" s="208"/>
      <c r="C138" s="209">
        <f>+C137/20</f>
        <v>1</v>
      </c>
      <c r="D138"/>
      <c r="J138" s="20"/>
      <c r="K138" s="20"/>
      <c r="L138" s="20"/>
      <c r="M138" s="20"/>
      <c r="N138" s="20"/>
      <c r="O138" s="20"/>
      <c r="P138" s="20"/>
      <c r="Q138" s="20"/>
      <c r="R138" s="21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</row>
    <row r="139" spans="1:183" x14ac:dyDescent="0.2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1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</row>
    <row r="140" spans="1:183" ht="14.25" customHeight="1" x14ac:dyDescent="0.2">
      <c r="A140" s="210" t="s">
        <v>198</v>
      </c>
      <c r="B140" s="21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1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</row>
    <row r="141" spans="1:183" x14ac:dyDescent="0.2">
      <c r="A141" s="211" t="s">
        <v>199</v>
      </c>
      <c r="B141" s="211"/>
      <c r="C141" s="211" t="s">
        <v>200</v>
      </c>
      <c r="D141" s="212" t="s">
        <v>201</v>
      </c>
      <c r="E141" s="211" t="s">
        <v>202</v>
      </c>
      <c r="F141" s="211" t="s">
        <v>203</v>
      </c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1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</row>
    <row r="142" spans="1:183" x14ac:dyDescent="0.2">
      <c r="A142" s="211"/>
      <c r="B142" s="211"/>
      <c r="C142" s="211"/>
      <c r="D142" s="212"/>
      <c r="E142" s="211"/>
      <c r="F142" s="211" t="s">
        <v>203</v>
      </c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1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</row>
    <row r="143" spans="1:183" x14ac:dyDescent="0.2">
      <c r="A143" s="149" t="str">
        <f>+A135</f>
        <v>Agrícola</v>
      </c>
      <c r="B143" s="149"/>
      <c r="C143" s="213">
        <v>150000</v>
      </c>
      <c r="D143" s="214">
        <v>1</v>
      </c>
      <c r="E143" s="102">
        <f>+C143*D143</f>
        <v>150000</v>
      </c>
      <c r="F143" s="102">
        <f>+E143*2</f>
        <v>300000</v>
      </c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1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</row>
    <row r="144" spans="1:183" ht="28.5" x14ac:dyDescent="0.2">
      <c r="A144" s="149" t="str">
        <f>+A136</f>
        <v>Bosque (Monte)</v>
      </c>
      <c r="B144" s="149"/>
      <c r="C144" s="213">
        <v>100000</v>
      </c>
      <c r="D144" s="214">
        <v>0</v>
      </c>
      <c r="E144" s="102">
        <f>+C144*D144</f>
        <v>0</v>
      </c>
      <c r="F144" s="102">
        <f>+E144*2</f>
        <v>0</v>
      </c>
      <c r="G144" s="215" t="s">
        <v>204</v>
      </c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1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</row>
    <row r="145" spans="1:183" ht="15" x14ac:dyDescent="0.2">
      <c r="A145" s="216" t="s">
        <v>205</v>
      </c>
      <c r="B145" s="217"/>
      <c r="C145" s="217"/>
      <c r="D145" s="218"/>
      <c r="E145" s="219">
        <f>SUM(E143:E144)</f>
        <v>150000</v>
      </c>
      <c r="F145" s="219">
        <f>+F143</f>
        <v>300000</v>
      </c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1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</row>
    <row r="146" spans="1:183" ht="15" x14ac:dyDescent="0.2">
      <c r="A146" s="207" t="s">
        <v>206</v>
      </c>
      <c r="B146" s="207"/>
      <c r="C146" s="207"/>
      <c r="D146" s="207"/>
      <c r="E146" s="207"/>
      <c r="F146" s="207"/>
      <c r="G146" s="207"/>
      <c r="H146" s="207"/>
      <c r="I146" s="207"/>
      <c r="J146" s="207"/>
      <c r="K146" s="207"/>
      <c r="L146" s="207"/>
      <c r="M146" s="207"/>
      <c r="N146" s="207"/>
      <c r="O146" s="20"/>
      <c r="P146" s="20"/>
      <c r="Q146" s="20"/>
      <c r="R146" s="21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</row>
    <row r="147" spans="1:183" ht="15" customHeight="1" x14ac:dyDescent="0.2">
      <c r="A147" s="220" t="s">
        <v>207</v>
      </c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0"/>
      <c r="P147" s="20"/>
      <c r="Q147" s="20"/>
      <c r="R147" s="21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</row>
    <row r="148" spans="1:183" ht="15" customHeight="1" x14ac:dyDescent="0.2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0"/>
      <c r="P148" s="20"/>
      <c r="Q148" s="20"/>
      <c r="R148" s="21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</row>
    <row r="149" spans="1:183" x14ac:dyDescent="0.2">
      <c r="A149" s="220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0"/>
      <c r="P149" s="20"/>
      <c r="Q149" s="20"/>
      <c r="R149" s="21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</row>
    <row r="150" spans="1:183" x14ac:dyDescent="0.2">
      <c r="A150" s="221"/>
      <c r="B150" s="221"/>
      <c r="C150" s="221"/>
      <c r="D150" s="221"/>
      <c r="E150" s="221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1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</row>
    <row r="151" spans="1:183" ht="15" x14ac:dyDescent="0.25">
      <c r="A151" s="222" t="s">
        <v>208</v>
      </c>
      <c r="B151" s="223"/>
      <c r="C151" s="223"/>
      <c r="D151" s="223"/>
      <c r="E151" s="223"/>
      <c r="F151" s="223"/>
      <c r="G151" s="223"/>
      <c r="H151" s="223"/>
      <c r="I151" s="223"/>
      <c r="J151" s="223"/>
      <c r="K151" s="223"/>
      <c r="L151" s="223"/>
      <c r="M151" s="223"/>
      <c r="N151" s="223"/>
      <c r="O151"/>
      <c r="P151"/>
      <c r="Q151" s="20"/>
      <c r="R151" s="21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</row>
    <row r="152" spans="1:183" ht="15" x14ac:dyDescent="0.2">
      <c r="A152" s="224" t="s">
        <v>209</v>
      </c>
      <c r="B152" s="224"/>
      <c r="C152" s="224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1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</row>
    <row r="153" spans="1:183" ht="28.5" x14ac:dyDescent="0.25">
      <c r="A153" s="225" t="s">
        <v>109</v>
      </c>
      <c r="B153" s="226"/>
      <c r="C153" s="227" t="s">
        <v>210</v>
      </c>
      <c r="D153" s="228" t="s">
        <v>211</v>
      </c>
      <c r="E153" s="229" t="s">
        <v>212</v>
      </c>
      <c r="F153" s="229" t="s">
        <v>213</v>
      </c>
      <c r="G153" s="229" t="s">
        <v>214</v>
      </c>
      <c r="H153" s="229" t="s">
        <v>215</v>
      </c>
      <c r="I153" s="229" t="s">
        <v>216</v>
      </c>
      <c r="J153"/>
      <c r="Q153" s="20"/>
      <c r="R153" s="21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</row>
    <row r="154" spans="1:183" ht="15" x14ac:dyDescent="0.2">
      <c r="A154" s="230" t="s">
        <v>217</v>
      </c>
      <c r="B154" s="230"/>
      <c r="C154" s="117"/>
      <c r="D154" s="117"/>
      <c r="E154" s="118"/>
      <c r="F154" s="231"/>
      <c r="G154" s="232">
        <f>SUM(G155:G155)</f>
        <v>0</v>
      </c>
      <c r="H154" s="233"/>
      <c r="I154" s="232">
        <f>SUM(I155:I155)</f>
        <v>0</v>
      </c>
      <c r="Q154" s="20"/>
      <c r="R154" s="21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</row>
    <row r="155" spans="1:183" ht="33" customHeight="1" x14ac:dyDescent="0.2">
      <c r="A155" s="234"/>
      <c r="B155" s="234"/>
      <c r="C155" s="117"/>
      <c r="D155" s="235"/>
      <c r="E155" s="117"/>
      <c r="F155" s="236"/>
      <c r="G155" s="235">
        <f>F155*D155</f>
        <v>0</v>
      </c>
      <c r="H155" s="237"/>
      <c r="I155" s="235">
        <f>G155*H155</f>
        <v>0</v>
      </c>
      <c r="Q155" s="20"/>
      <c r="R155" s="21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</row>
    <row r="156" spans="1:183" ht="15" x14ac:dyDescent="0.2">
      <c r="A156" s="230" t="s">
        <v>218</v>
      </c>
      <c r="B156" s="230"/>
      <c r="C156" s="117"/>
      <c r="D156" s="235"/>
      <c r="E156" s="118"/>
      <c r="F156" s="236"/>
      <c r="G156" s="232">
        <f>SUM(G157:G163)</f>
        <v>408.66666666666663</v>
      </c>
      <c r="H156" s="233"/>
      <c r="I156" s="232">
        <f>SUM(I157:I163)</f>
        <v>334.33333333333337</v>
      </c>
      <c r="Q156" s="20"/>
      <c r="R156" s="21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</row>
    <row r="157" spans="1:183" x14ac:dyDescent="0.2">
      <c r="A157" s="149" t="s">
        <v>219</v>
      </c>
      <c r="B157" s="149"/>
      <c r="C157" s="117">
        <v>1</v>
      </c>
      <c r="D157" s="235">
        <v>600</v>
      </c>
      <c r="E157" s="117">
        <v>3</v>
      </c>
      <c r="F157" s="236">
        <f>1/E157</f>
        <v>0.33333333333333331</v>
      </c>
      <c r="G157" s="235">
        <f>F157*D157</f>
        <v>200</v>
      </c>
      <c r="H157" s="237">
        <v>1</v>
      </c>
      <c r="I157" s="235">
        <f>G157*H157</f>
        <v>200</v>
      </c>
      <c r="Q157" s="20"/>
      <c r="R157" s="21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</row>
    <row r="158" spans="1:183" x14ac:dyDescent="0.2">
      <c r="A158" s="149" t="s">
        <v>220</v>
      </c>
      <c r="B158" s="149"/>
      <c r="C158" s="117">
        <v>1</v>
      </c>
      <c r="D158" s="235">
        <v>80</v>
      </c>
      <c r="E158" s="117">
        <v>4</v>
      </c>
      <c r="F158" s="236">
        <f t="shared" ref="F158:F163" si="6">1/E158</f>
        <v>0.25</v>
      </c>
      <c r="G158" s="235">
        <f t="shared" ref="G158:G163" si="7">F158*D158</f>
        <v>20</v>
      </c>
      <c r="H158" s="237">
        <v>0.2</v>
      </c>
      <c r="I158" s="235">
        <f>G158*H158</f>
        <v>4</v>
      </c>
      <c r="Q158" s="20"/>
      <c r="R158" s="21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</row>
    <row r="159" spans="1:183" x14ac:dyDescent="0.2">
      <c r="A159" s="196" t="s">
        <v>221</v>
      </c>
      <c r="B159" s="196"/>
      <c r="C159" s="117">
        <v>1</v>
      </c>
      <c r="D159" s="235">
        <v>250</v>
      </c>
      <c r="E159" s="117">
        <v>3</v>
      </c>
      <c r="F159" s="236">
        <f t="shared" si="6"/>
        <v>0.33333333333333331</v>
      </c>
      <c r="G159" s="235">
        <f t="shared" si="7"/>
        <v>83.333333333333329</v>
      </c>
      <c r="H159" s="237">
        <v>0.8</v>
      </c>
      <c r="I159" s="235">
        <f>G159*H159</f>
        <v>66.666666666666671</v>
      </c>
      <c r="Q159" s="20"/>
      <c r="R159" s="21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</row>
    <row r="160" spans="1:183" x14ac:dyDescent="0.2">
      <c r="A160" s="149" t="s">
        <v>222</v>
      </c>
      <c r="B160" s="149"/>
      <c r="C160" s="117">
        <v>1</v>
      </c>
      <c r="D160" s="235">
        <v>250</v>
      </c>
      <c r="E160" s="117">
        <v>3</v>
      </c>
      <c r="F160" s="236">
        <f t="shared" si="6"/>
        <v>0.33333333333333331</v>
      </c>
      <c r="G160" s="235">
        <f t="shared" si="7"/>
        <v>83.333333333333329</v>
      </c>
      <c r="H160" s="237">
        <v>0.5</v>
      </c>
      <c r="I160" s="235">
        <f t="shared" ref="I160:I163" si="8">G160*H160</f>
        <v>41.666666666666664</v>
      </c>
      <c r="R160" s="21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</row>
    <row r="161" spans="1:183" x14ac:dyDescent="0.2">
      <c r="A161" s="149" t="s">
        <v>223</v>
      </c>
      <c r="B161" s="149"/>
      <c r="C161" s="117">
        <v>1</v>
      </c>
      <c r="D161" s="235">
        <v>120</v>
      </c>
      <c r="E161" s="117">
        <v>10</v>
      </c>
      <c r="F161" s="236">
        <f t="shared" si="6"/>
        <v>0.1</v>
      </c>
      <c r="G161" s="235">
        <f t="shared" si="7"/>
        <v>12</v>
      </c>
      <c r="H161" s="237">
        <v>1</v>
      </c>
      <c r="I161" s="235">
        <f t="shared" si="8"/>
        <v>12</v>
      </c>
      <c r="R161" s="21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</row>
    <row r="162" spans="1:183" x14ac:dyDescent="0.2">
      <c r="A162" s="149" t="s">
        <v>224</v>
      </c>
      <c r="B162" s="149"/>
      <c r="C162" s="109">
        <v>1</v>
      </c>
      <c r="D162" s="235">
        <v>20</v>
      </c>
      <c r="E162" s="117">
        <v>3</v>
      </c>
      <c r="F162" s="236">
        <f t="shared" si="6"/>
        <v>0.33333333333333331</v>
      </c>
      <c r="G162" s="235">
        <f t="shared" si="7"/>
        <v>6.6666666666666661</v>
      </c>
      <c r="H162" s="237">
        <v>1</v>
      </c>
      <c r="I162" s="235">
        <f t="shared" si="8"/>
        <v>6.6666666666666661</v>
      </c>
      <c r="R162" s="21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</row>
    <row r="163" spans="1:183" x14ac:dyDescent="0.2">
      <c r="A163" s="149" t="s">
        <v>225</v>
      </c>
      <c r="B163" s="149"/>
      <c r="C163" s="117">
        <v>80</v>
      </c>
      <c r="D163" s="235">
        <v>10</v>
      </c>
      <c r="E163" s="117">
        <v>3</v>
      </c>
      <c r="F163" s="236">
        <f t="shared" si="6"/>
        <v>0.33333333333333331</v>
      </c>
      <c r="G163" s="235">
        <f t="shared" si="7"/>
        <v>3.333333333333333</v>
      </c>
      <c r="H163" s="237">
        <v>1</v>
      </c>
      <c r="I163" s="235">
        <f t="shared" si="8"/>
        <v>3.333333333333333</v>
      </c>
      <c r="R163" s="21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</row>
    <row r="164" spans="1:183" ht="15" x14ac:dyDescent="0.2">
      <c r="A164" s="238" t="s">
        <v>226</v>
      </c>
      <c r="B164" s="239"/>
      <c r="C164" s="239"/>
      <c r="D164" s="239"/>
      <c r="E164" s="239"/>
      <c r="F164" s="240"/>
      <c r="G164" s="241">
        <f>+SUM(G156,G154)</f>
        <v>408.66666666666663</v>
      </c>
      <c r="H164" s="242"/>
      <c r="I164" s="243">
        <f>SUM(I156,I154)</f>
        <v>334.33333333333337</v>
      </c>
      <c r="R164" s="21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</row>
    <row r="165" spans="1:183" ht="15" x14ac:dyDescent="0.2">
      <c r="A165" s="7"/>
      <c r="B165" s="20"/>
      <c r="C165" s="20"/>
      <c r="D165" s="20"/>
      <c r="E165" s="20"/>
      <c r="F165" s="20"/>
      <c r="G165" s="20"/>
      <c r="H165" s="20"/>
      <c r="I165" s="20"/>
      <c r="R165" s="21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</row>
    <row r="166" spans="1:183" ht="15" x14ac:dyDescent="0.2">
      <c r="A166" s="244" t="s">
        <v>227</v>
      </c>
      <c r="B166" s="245"/>
      <c r="C166" s="245"/>
      <c r="D166" s="245"/>
      <c r="E166" s="245"/>
      <c r="F166" s="245"/>
      <c r="G166" s="245"/>
      <c r="H166" s="245"/>
      <c r="I166" s="245"/>
      <c r="J166" s="245"/>
      <c r="K166" s="245"/>
      <c r="L166" s="245"/>
      <c r="M166" s="245"/>
      <c r="N166" s="245"/>
      <c r="O166" s="20"/>
      <c r="P166" s="20"/>
      <c r="Q166" s="20"/>
      <c r="R166" s="21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</row>
    <row r="167" spans="1:183" ht="15" x14ac:dyDescent="0.2">
      <c r="A167" s="246" t="s">
        <v>228</v>
      </c>
      <c r="B167" s="247"/>
      <c r="C167" s="247"/>
      <c r="D167" s="247"/>
      <c r="E167" s="247"/>
      <c r="F167" s="247"/>
      <c r="G167" s="247"/>
      <c r="H167" s="247"/>
      <c r="I167" s="247"/>
      <c r="J167" s="247"/>
      <c r="K167" s="248"/>
      <c r="L167" s="20"/>
      <c r="M167" s="20"/>
      <c r="N167" s="20"/>
      <c r="O167" s="20"/>
      <c r="P167" s="20"/>
      <c r="Q167" s="20"/>
      <c r="R167" s="21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</row>
    <row r="168" spans="1:183" ht="15" x14ac:dyDescent="0.2">
      <c r="A168" s="249" t="s">
        <v>229</v>
      </c>
      <c r="B168" s="249"/>
      <c r="C168" s="249"/>
      <c r="D168" s="249"/>
      <c r="E168" s="249"/>
      <c r="F168" s="249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1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</row>
    <row r="169" spans="1:183" ht="15" x14ac:dyDescent="0.2">
      <c r="A169" s="250" t="s">
        <v>109</v>
      </c>
      <c r="B169" s="250"/>
      <c r="C169" s="251" t="s">
        <v>230</v>
      </c>
      <c r="D169" s="251" t="s">
        <v>210</v>
      </c>
      <c r="E169" s="251" t="s">
        <v>231</v>
      </c>
      <c r="F169" s="251" t="s">
        <v>99</v>
      </c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1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</row>
    <row r="170" spans="1:183" x14ac:dyDescent="0.2">
      <c r="A170" s="149" t="s">
        <v>232</v>
      </c>
      <c r="B170" s="149"/>
      <c r="C170" s="196" t="s">
        <v>233</v>
      </c>
      <c r="D170" s="117">
        <v>3</v>
      </c>
      <c r="E170" s="235">
        <v>30</v>
      </c>
      <c r="F170" s="102">
        <f t="shared" ref="F170" si="9">D170*E170</f>
        <v>90</v>
      </c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1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</row>
    <row r="171" spans="1:183" ht="15" x14ac:dyDescent="0.2">
      <c r="A171" s="250" t="s">
        <v>234</v>
      </c>
      <c r="B171" s="250"/>
      <c r="C171" s="250"/>
      <c r="D171" s="250"/>
      <c r="E171" s="250"/>
      <c r="F171" s="252">
        <f>SUM(F170:F170)</f>
        <v>90</v>
      </c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1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</row>
    <row r="172" spans="1:183" x14ac:dyDescent="0.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1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</row>
    <row r="173" spans="1:183" ht="15" x14ac:dyDescent="0.2">
      <c r="A173" s="249" t="s">
        <v>235</v>
      </c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0"/>
      <c r="M173" s="20"/>
      <c r="N173" s="20"/>
      <c r="O173" s="20"/>
      <c r="P173" s="20"/>
      <c r="Q173" s="20"/>
      <c r="R173" s="21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</row>
    <row r="174" spans="1:183" ht="15" x14ac:dyDescent="0.2">
      <c r="A174" s="249" t="s">
        <v>236</v>
      </c>
      <c r="B174" s="249"/>
      <c r="C174" s="249"/>
      <c r="D174" s="249"/>
      <c r="E174" s="249"/>
      <c r="F174" s="249"/>
      <c r="G174" s="24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1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</row>
    <row r="175" spans="1:183" ht="15" x14ac:dyDescent="0.2">
      <c r="A175" s="253" t="s">
        <v>237</v>
      </c>
      <c r="B175" s="254"/>
      <c r="C175" s="255"/>
      <c r="D175" s="256" t="s">
        <v>238</v>
      </c>
      <c r="E175" s="257"/>
      <c r="F175" s="257"/>
      <c r="G175" s="257"/>
      <c r="I175" s="20"/>
      <c r="J175" s="20"/>
      <c r="K175" s="20"/>
      <c r="L175" s="20"/>
      <c r="M175" s="20"/>
      <c r="N175" s="20"/>
      <c r="O175" s="20"/>
      <c r="P175" s="20"/>
      <c r="Q175" s="20"/>
      <c r="R175" s="21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</row>
    <row r="176" spans="1:183" ht="15" thickBot="1" x14ac:dyDescent="0.25">
      <c r="A176" s="258"/>
      <c r="B176" s="259"/>
      <c r="C176" s="259"/>
      <c r="D176" s="260" t="s">
        <v>230</v>
      </c>
      <c r="E176" s="261" t="s">
        <v>210</v>
      </c>
      <c r="F176" s="260" t="s">
        <v>211</v>
      </c>
      <c r="G176" s="261" t="s">
        <v>239</v>
      </c>
      <c r="H176" s="261" t="s">
        <v>240</v>
      </c>
      <c r="I176" s="152"/>
      <c r="J176" s="152"/>
      <c r="K176" s="152"/>
      <c r="L176" s="20"/>
      <c r="M176" s="20"/>
      <c r="N176" s="20"/>
      <c r="O176" s="20"/>
      <c r="P176" s="20"/>
      <c r="Q176" s="20"/>
      <c r="R176" s="21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</row>
    <row r="177" spans="1:183" ht="15.75" x14ac:dyDescent="0.2">
      <c r="A177" s="262" t="s">
        <v>113</v>
      </c>
      <c r="B177" s="263"/>
      <c r="C177" s="263"/>
      <c r="D177" s="264"/>
      <c r="E177" s="264"/>
      <c r="F177" s="265"/>
      <c r="G177" s="266">
        <f>SUM(G178:G183)</f>
        <v>120</v>
      </c>
      <c r="H177" s="266">
        <f>+G177*2</f>
        <v>240</v>
      </c>
      <c r="I177" s="267"/>
      <c r="J177" s="268"/>
      <c r="K177" s="152"/>
      <c r="L177" s="20"/>
      <c r="M177" s="20"/>
      <c r="N177" s="20"/>
      <c r="O177" s="20"/>
      <c r="P177" s="20"/>
      <c r="Q177" s="20"/>
      <c r="R177" s="21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</row>
    <row r="178" spans="1:183" ht="15.75" x14ac:dyDescent="0.2">
      <c r="A178" s="269" t="str">
        <f t="shared" ref="A178:A183" si="10">+A89</f>
        <v>Blanco</v>
      </c>
      <c r="B178" s="134"/>
      <c r="C178" s="134"/>
      <c r="D178" s="100" t="s">
        <v>93</v>
      </c>
      <c r="E178" s="100">
        <f t="shared" ref="E178:E183" si="11">+$B$48*D89</f>
        <v>6.8</v>
      </c>
      <c r="F178" s="102">
        <f t="shared" ref="F178:F183" si="12">+$F$46</f>
        <v>15</v>
      </c>
      <c r="G178" s="270">
        <f t="shared" ref="G178:G183" si="13">E178*F178</f>
        <v>102</v>
      </c>
      <c r="H178" s="270">
        <f t="shared" ref="H178:H198" si="14">+G178*2</f>
        <v>204</v>
      </c>
      <c r="I178" s="267"/>
      <c r="J178" s="268"/>
      <c r="K178" s="152"/>
      <c r="L178" s="20"/>
      <c r="M178" s="20"/>
      <c r="N178" s="20"/>
      <c r="O178" s="20"/>
      <c r="P178" s="20"/>
      <c r="Q178" s="20"/>
      <c r="R178" s="21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</row>
    <row r="179" spans="1:183" ht="15.75" x14ac:dyDescent="0.2">
      <c r="A179" s="269" t="str">
        <f t="shared" si="10"/>
        <v>Azul</v>
      </c>
      <c r="B179" s="134"/>
      <c r="C179" s="134"/>
      <c r="D179" s="100" t="s">
        <v>93</v>
      </c>
      <c r="E179" s="100">
        <f t="shared" si="11"/>
        <v>0.32</v>
      </c>
      <c r="F179" s="102">
        <f t="shared" si="12"/>
        <v>15</v>
      </c>
      <c r="G179" s="270">
        <f t="shared" si="13"/>
        <v>4.8</v>
      </c>
      <c r="H179" s="270">
        <f t="shared" si="14"/>
        <v>9.6</v>
      </c>
      <c r="I179" s="267"/>
      <c r="J179" s="268"/>
      <c r="K179" s="152"/>
      <c r="L179" s="20"/>
      <c r="M179" s="20"/>
      <c r="N179" s="20"/>
      <c r="O179" s="20"/>
      <c r="P179" s="20"/>
      <c r="Q179" s="20"/>
      <c r="R179" s="21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</row>
    <row r="180" spans="1:183" ht="15.75" x14ac:dyDescent="0.2">
      <c r="A180" s="269" t="str">
        <f t="shared" si="10"/>
        <v>Morado</v>
      </c>
      <c r="B180" s="134"/>
      <c r="C180" s="134"/>
      <c r="D180" s="100" t="s">
        <v>93</v>
      </c>
      <c r="E180" s="100">
        <f t="shared" si="11"/>
        <v>0.08</v>
      </c>
      <c r="F180" s="102">
        <f t="shared" si="12"/>
        <v>15</v>
      </c>
      <c r="G180" s="270">
        <f t="shared" si="13"/>
        <v>1.2</v>
      </c>
      <c r="H180" s="270">
        <f t="shared" si="14"/>
        <v>2.4</v>
      </c>
      <c r="I180" s="267"/>
      <c r="J180" s="268"/>
      <c r="K180" s="152"/>
      <c r="L180" s="20"/>
      <c r="M180" s="20"/>
      <c r="N180" s="20"/>
      <c r="O180" s="20"/>
      <c r="P180" s="20"/>
      <c r="Q180" s="20"/>
      <c r="R180" s="21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</row>
    <row r="181" spans="1:183" ht="15.75" x14ac:dyDescent="0.2">
      <c r="A181" s="269" t="str">
        <f t="shared" si="10"/>
        <v>Amarillo</v>
      </c>
      <c r="B181" s="134"/>
      <c r="C181" s="134"/>
      <c r="D181" s="100" t="s">
        <v>93</v>
      </c>
      <c r="E181" s="100">
        <f t="shared" si="11"/>
        <v>0.32</v>
      </c>
      <c r="F181" s="102">
        <f t="shared" si="12"/>
        <v>15</v>
      </c>
      <c r="G181" s="270">
        <f t="shared" si="13"/>
        <v>4.8</v>
      </c>
      <c r="H181" s="270">
        <f t="shared" si="14"/>
        <v>9.6</v>
      </c>
      <c r="I181" s="267"/>
      <c r="J181" s="268"/>
      <c r="K181" s="152"/>
      <c r="L181" s="20"/>
      <c r="M181" s="20"/>
      <c r="N181" s="20"/>
      <c r="O181" s="20"/>
      <c r="P181" s="20"/>
      <c r="Q181" s="20"/>
      <c r="R181" s="21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</row>
    <row r="182" spans="1:183" ht="15.75" x14ac:dyDescent="0.2">
      <c r="A182" s="269" t="str">
        <f t="shared" si="10"/>
        <v>Rojo</v>
      </c>
      <c r="B182" s="134"/>
      <c r="C182" s="134"/>
      <c r="D182" s="100" t="s">
        <v>93</v>
      </c>
      <c r="E182" s="100">
        <f t="shared" si="11"/>
        <v>0.4</v>
      </c>
      <c r="F182" s="102">
        <f t="shared" si="12"/>
        <v>15</v>
      </c>
      <c r="G182" s="270">
        <f t="shared" si="13"/>
        <v>6</v>
      </c>
      <c r="H182" s="270">
        <f t="shared" si="14"/>
        <v>12</v>
      </c>
      <c r="I182" s="267"/>
      <c r="J182" s="268"/>
      <c r="K182" s="152"/>
      <c r="L182" s="20"/>
      <c r="M182" s="20"/>
      <c r="N182" s="20"/>
      <c r="O182" s="20"/>
      <c r="P182" s="20"/>
      <c r="Q182" s="20"/>
      <c r="R182" s="21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</row>
    <row r="183" spans="1:183" ht="16.5" thickBot="1" x14ac:dyDescent="0.25">
      <c r="A183" s="269" t="str">
        <f t="shared" si="10"/>
        <v>Pinto</v>
      </c>
      <c r="B183" s="134"/>
      <c r="C183" s="134"/>
      <c r="D183" s="100" t="s">
        <v>93</v>
      </c>
      <c r="E183" s="100">
        <f t="shared" si="11"/>
        <v>0.08</v>
      </c>
      <c r="F183" s="102">
        <f t="shared" si="12"/>
        <v>15</v>
      </c>
      <c r="G183" s="270">
        <f t="shared" si="13"/>
        <v>1.2</v>
      </c>
      <c r="H183" s="270">
        <f t="shared" si="14"/>
        <v>2.4</v>
      </c>
      <c r="I183" s="267"/>
      <c r="J183" s="268"/>
      <c r="K183" s="152"/>
      <c r="L183" s="20"/>
      <c r="M183" s="20"/>
      <c r="N183" s="20"/>
      <c r="O183" s="20"/>
      <c r="P183" s="20"/>
      <c r="Q183" s="20"/>
      <c r="R183" s="21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</row>
    <row r="184" spans="1:183" ht="15.75" x14ac:dyDescent="0.2">
      <c r="A184" s="271" t="s">
        <v>241</v>
      </c>
      <c r="B184" s="272"/>
      <c r="C184" s="272"/>
      <c r="D184" s="273"/>
      <c r="E184" s="273"/>
      <c r="F184" s="274"/>
      <c r="G184" s="266">
        <f>SUM(G185:G190)</f>
        <v>220.5</v>
      </c>
      <c r="H184" s="266">
        <f t="shared" si="14"/>
        <v>441</v>
      </c>
      <c r="I184" s="267"/>
      <c r="J184" s="268"/>
      <c r="K184" s="152"/>
      <c r="L184" s="20"/>
      <c r="M184" s="20"/>
      <c r="N184" s="20"/>
      <c r="O184" s="20"/>
      <c r="P184" s="20"/>
      <c r="Q184" s="20"/>
      <c r="R184" s="21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</row>
    <row r="185" spans="1:183" x14ac:dyDescent="0.2">
      <c r="A185" s="275" t="str">
        <f>+'[1]Tehuipango Subproductos'!A3</f>
        <v>Frijol delgado semilla</v>
      </c>
      <c r="B185" s="276"/>
      <c r="C185" s="276"/>
      <c r="D185" s="100" t="s">
        <v>93</v>
      </c>
      <c r="E185" s="113">
        <f>+'[1]Tehuipango Subproductos'!D3</f>
        <v>0.5</v>
      </c>
      <c r="F185" s="102">
        <f>+'[1]Tehuipango Subproductos'!E3</f>
        <v>35</v>
      </c>
      <c r="G185" s="270">
        <f t="shared" ref="G185:G190" si="15">E185*F185</f>
        <v>17.5</v>
      </c>
      <c r="H185" s="270">
        <f t="shared" si="14"/>
        <v>35</v>
      </c>
      <c r="I185" s="152"/>
      <c r="J185" s="268"/>
      <c r="K185" s="152"/>
      <c r="L185" s="20"/>
      <c r="M185" s="20"/>
      <c r="N185" s="20"/>
      <c r="O185" s="20"/>
      <c r="P185" s="20"/>
      <c r="Q185" s="20"/>
      <c r="R185" s="21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</row>
    <row r="186" spans="1:183" x14ac:dyDescent="0.2">
      <c r="A186" s="275" t="str">
        <f>+'[1]Tehuipango Subproductos'!A6</f>
        <v>Frijol gordo elanma semilla</v>
      </c>
      <c r="B186" s="276"/>
      <c r="C186" s="276"/>
      <c r="D186" s="100" t="s">
        <v>93</v>
      </c>
      <c r="E186" s="113">
        <f>+'[1]Tehuipango Subproductos'!D6</f>
        <v>2</v>
      </c>
      <c r="F186" s="102">
        <f>+'[1]Tehuipango Subproductos'!E6</f>
        <v>15</v>
      </c>
      <c r="G186" s="270">
        <f t="shared" si="15"/>
        <v>30</v>
      </c>
      <c r="H186" s="270">
        <f t="shared" si="14"/>
        <v>60</v>
      </c>
      <c r="I186" s="152"/>
      <c r="J186" s="152"/>
      <c r="K186" s="152"/>
      <c r="L186" s="20"/>
      <c r="M186" s="20"/>
      <c r="N186" s="20"/>
      <c r="O186" s="20"/>
      <c r="P186" s="20"/>
      <c r="Q186" s="20"/>
      <c r="R186" s="21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</row>
    <row r="187" spans="1:183" x14ac:dyDescent="0.2">
      <c r="A187" s="275" t="str">
        <f>+'[1]Tehuipango Subproductos'!A9</f>
        <v>Frijol gordo evapa semilla</v>
      </c>
      <c r="B187" s="276"/>
      <c r="C187" s="276"/>
      <c r="D187" s="100" t="s">
        <v>93</v>
      </c>
      <c r="E187" s="100">
        <f>+'[1]Tehuipango Subproductos'!D9</f>
        <v>1.7</v>
      </c>
      <c r="F187" s="102">
        <f>+'[1]Tehuipango Subproductos'!E9</f>
        <v>30</v>
      </c>
      <c r="G187" s="270">
        <f t="shared" si="15"/>
        <v>51</v>
      </c>
      <c r="H187" s="270">
        <f t="shared" si="14"/>
        <v>102</v>
      </c>
      <c r="I187" s="152"/>
      <c r="J187" s="152"/>
      <c r="K187" s="152"/>
      <c r="L187" s="20"/>
      <c r="M187" s="20"/>
      <c r="N187" s="20"/>
      <c r="O187" s="20"/>
      <c r="P187" s="20"/>
      <c r="Q187" s="20"/>
      <c r="R187" s="21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</row>
    <row r="188" spans="1:183" x14ac:dyDescent="0.2">
      <c r="A188" s="275" t="str">
        <f>+'[1]Tehuipango Subproductos'!A12</f>
        <v>Chilacayota semilla</v>
      </c>
      <c r="B188" s="276"/>
      <c r="C188" s="276"/>
      <c r="D188" s="100" t="s">
        <v>93</v>
      </c>
      <c r="E188" s="100">
        <f>+'[1]Tehuipango Subproductos'!D12</f>
        <v>0.7</v>
      </c>
      <c r="F188" s="102">
        <f>+'[1]Tehuipango Subproductos'!E12</f>
        <v>60</v>
      </c>
      <c r="G188" s="270">
        <f t="shared" si="15"/>
        <v>42</v>
      </c>
      <c r="H188" s="270">
        <f t="shared" si="14"/>
        <v>84</v>
      </c>
      <c r="I188" s="152"/>
      <c r="J188" s="152"/>
      <c r="K188" s="152"/>
      <c r="L188" s="20"/>
      <c r="M188" s="20"/>
      <c r="N188" s="20"/>
      <c r="O188" s="20"/>
      <c r="P188" s="20"/>
      <c r="Q188" s="20"/>
      <c r="R188" s="21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</row>
    <row r="189" spans="1:183" x14ac:dyDescent="0.2">
      <c r="A189" s="275" t="str">
        <f>+'[1]Tehuipango Subproductos'!A16</f>
        <v>Navayote semilla</v>
      </c>
      <c r="B189" s="276"/>
      <c r="C189" s="276"/>
      <c r="D189" s="100" t="s">
        <v>93</v>
      </c>
      <c r="E189" s="277">
        <f>+'[1]Tehuipango Subproductos'!D16</f>
        <v>0.5</v>
      </c>
      <c r="F189" s="278">
        <f>+'[1]Tehuipango Subproductos'!E16</f>
        <v>40</v>
      </c>
      <c r="G189" s="270">
        <f t="shared" si="15"/>
        <v>20</v>
      </c>
      <c r="H189" s="270">
        <f t="shared" si="14"/>
        <v>40</v>
      </c>
      <c r="I189" s="152"/>
      <c r="J189" s="152"/>
      <c r="K189" s="152"/>
      <c r="L189" s="20"/>
      <c r="M189" s="20"/>
      <c r="N189" s="20"/>
      <c r="O189" s="20"/>
      <c r="P189" s="20"/>
      <c r="Q189" s="20"/>
      <c r="R189" s="21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</row>
    <row r="190" spans="1:183" ht="15" thickBot="1" x14ac:dyDescent="0.25">
      <c r="A190" s="275" t="str">
        <f>+'[1]Tehuipango Subproductos'!A19</f>
        <v>Haba semilla</v>
      </c>
      <c r="B190" s="276"/>
      <c r="C190" s="276"/>
      <c r="D190" s="100" t="s">
        <v>93</v>
      </c>
      <c r="E190" s="277">
        <f>+'[1]Tehuipango Subproductos'!D19</f>
        <v>2</v>
      </c>
      <c r="F190" s="278">
        <f>+'[1]Tehuipango Subproductos'!E19</f>
        <v>30</v>
      </c>
      <c r="G190" s="270">
        <f t="shared" si="15"/>
        <v>60</v>
      </c>
      <c r="H190" s="270">
        <f t="shared" si="14"/>
        <v>120</v>
      </c>
      <c r="I190" s="152"/>
      <c r="J190" s="152"/>
      <c r="K190" s="152"/>
      <c r="L190" s="20"/>
      <c r="M190" s="20"/>
      <c r="N190" s="20"/>
      <c r="O190" s="20"/>
      <c r="P190" s="20"/>
      <c r="Q190" s="20"/>
      <c r="R190" s="21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</row>
    <row r="191" spans="1:183" ht="15" x14ac:dyDescent="0.2">
      <c r="A191" s="262" t="s">
        <v>242</v>
      </c>
      <c r="B191" s="263"/>
      <c r="C191" s="263"/>
      <c r="D191" s="279"/>
      <c r="E191" s="280"/>
      <c r="F191" s="281"/>
      <c r="G191" s="282">
        <f>SUM(G192:G193)</f>
        <v>2700</v>
      </c>
      <c r="H191" s="282">
        <f t="shared" si="14"/>
        <v>5400</v>
      </c>
      <c r="L191" s="20"/>
      <c r="M191" s="20"/>
      <c r="N191" s="20"/>
      <c r="O191" s="20"/>
      <c r="P191" s="20"/>
      <c r="Q191" s="20"/>
      <c r="R191" s="21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</row>
    <row r="192" spans="1:183" x14ac:dyDescent="0.2">
      <c r="A192" s="36" t="s">
        <v>243</v>
      </c>
      <c r="B192" s="20"/>
      <c r="C192" s="283"/>
      <c r="D192" s="284" t="s">
        <v>244</v>
      </c>
      <c r="E192" s="21">
        <v>4</v>
      </c>
      <c r="F192" s="285">
        <v>500</v>
      </c>
      <c r="G192" s="286">
        <f>E192*F192</f>
        <v>2000</v>
      </c>
      <c r="H192" s="286">
        <f t="shared" si="14"/>
        <v>4000</v>
      </c>
      <c r="I192" s="152" t="s">
        <v>245</v>
      </c>
      <c r="J192" s="152"/>
      <c r="L192" s="20"/>
      <c r="M192" s="20"/>
      <c r="N192" s="20"/>
      <c r="O192" s="20"/>
      <c r="P192" s="20"/>
      <c r="Q192" s="20"/>
      <c r="R192" s="21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</row>
    <row r="193" spans="1:183" ht="15" thickBot="1" x14ac:dyDescent="0.25">
      <c r="A193" s="287" t="s">
        <v>246</v>
      </c>
      <c r="B193" s="288"/>
      <c r="C193" s="288"/>
      <c r="D193" s="289" t="s">
        <v>244</v>
      </c>
      <c r="E193" s="290">
        <v>1</v>
      </c>
      <c r="F193" s="291">
        <v>700</v>
      </c>
      <c r="G193" s="292">
        <f>E193*F193</f>
        <v>700</v>
      </c>
      <c r="H193" s="292">
        <f t="shared" si="14"/>
        <v>1400</v>
      </c>
      <c r="I193" s="152"/>
      <c r="J193" s="152"/>
      <c r="L193" s="20"/>
      <c r="M193" s="20"/>
      <c r="N193" s="20"/>
      <c r="O193" s="20"/>
      <c r="P193" s="20"/>
      <c r="Q193" s="20"/>
      <c r="R193" s="21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</row>
    <row r="194" spans="1:183" ht="15.75" thickBot="1" x14ac:dyDescent="0.25">
      <c r="A194" s="262" t="s">
        <v>247</v>
      </c>
      <c r="B194" s="263"/>
      <c r="C194" s="263"/>
      <c r="D194" s="293" t="s">
        <v>248</v>
      </c>
      <c r="E194" s="294"/>
      <c r="F194" s="295"/>
      <c r="G194" s="282"/>
      <c r="H194" s="282">
        <f t="shared" si="14"/>
        <v>0</v>
      </c>
      <c r="I194" s="20"/>
      <c r="J194" s="20"/>
      <c r="K194" s="20"/>
      <c r="L194" s="20"/>
      <c r="M194" s="20"/>
      <c r="N194" s="20"/>
      <c r="O194" s="20"/>
      <c r="P194" s="20"/>
      <c r="Q194" s="20"/>
      <c r="R194" s="21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</row>
    <row r="195" spans="1:183" ht="15" x14ac:dyDescent="0.2">
      <c r="A195" s="262" t="s">
        <v>249</v>
      </c>
      <c r="B195" s="263"/>
      <c r="C195" s="263"/>
      <c r="D195" s="293"/>
      <c r="E195" s="294"/>
      <c r="F195" s="296"/>
      <c r="G195" s="282">
        <f>SUM(G196:G197)</f>
        <v>50</v>
      </c>
      <c r="H195" s="282">
        <f t="shared" si="14"/>
        <v>100</v>
      </c>
      <c r="I195" s="20"/>
      <c r="J195" s="20"/>
      <c r="K195" s="20"/>
      <c r="L195" s="20"/>
      <c r="M195" s="20"/>
      <c r="N195" s="20"/>
      <c r="O195" s="20"/>
      <c r="P195" s="20"/>
      <c r="Q195" s="20"/>
      <c r="R195" s="21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</row>
    <row r="196" spans="1:183" x14ac:dyDescent="0.2">
      <c r="A196" s="36" t="s">
        <v>250</v>
      </c>
      <c r="B196" s="20"/>
      <c r="C196" s="20"/>
      <c r="D196" s="284" t="s">
        <v>93</v>
      </c>
      <c r="E196" s="21">
        <v>10</v>
      </c>
      <c r="F196" s="297">
        <v>5</v>
      </c>
      <c r="G196" s="286">
        <f>E196*F196</f>
        <v>50</v>
      </c>
      <c r="H196" s="286">
        <f t="shared" si="14"/>
        <v>100</v>
      </c>
      <c r="I196" s="20"/>
      <c r="J196" s="20"/>
      <c r="K196" s="20"/>
      <c r="L196" s="20"/>
      <c r="M196" s="20"/>
      <c r="N196" s="20"/>
      <c r="O196" s="20"/>
      <c r="P196" s="20"/>
      <c r="Q196" s="20"/>
      <c r="R196" s="21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</row>
    <row r="197" spans="1:183" x14ac:dyDescent="0.2">
      <c r="A197" s="36" t="s">
        <v>251</v>
      </c>
      <c r="B197" s="20"/>
      <c r="C197" s="20"/>
      <c r="D197" s="284" t="s">
        <v>93</v>
      </c>
      <c r="E197" s="21">
        <v>20</v>
      </c>
      <c r="F197" s="297">
        <v>0</v>
      </c>
      <c r="G197" s="286">
        <f>E197*F197</f>
        <v>0</v>
      </c>
      <c r="H197" s="286">
        <f t="shared" si="14"/>
        <v>0</v>
      </c>
      <c r="I197" s="20"/>
      <c r="J197" s="20"/>
      <c r="K197" s="20"/>
      <c r="L197" s="20"/>
      <c r="M197" s="20"/>
      <c r="N197" s="20"/>
      <c r="O197" s="20"/>
      <c r="P197" s="20"/>
      <c r="Q197" s="20"/>
      <c r="R197" s="21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</row>
    <row r="198" spans="1:183" ht="15" x14ac:dyDescent="0.2">
      <c r="A198" s="298" t="s">
        <v>252</v>
      </c>
      <c r="B198" s="299"/>
      <c r="C198" s="299"/>
      <c r="D198" s="299"/>
      <c r="E198" s="299"/>
      <c r="F198" s="300"/>
      <c r="G198" s="301">
        <f>SUM(G195,G191,G184,G177,G194)</f>
        <v>3090.5</v>
      </c>
      <c r="H198" s="301">
        <f t="shared" si="14"/>
        <v>6181</v>
      </c>
      <c r="I198" s="20"/>
      <c r="J198" s="20"/>
      <c r="K198" s="20"/>
      <c r="L198" s="20"/>
      <c r="M198" s="20"/>
      <c r="N198" s="20"/>
      <c r="O198" s="20"/>
      <c r="P198" s="20"/>
      <c r="Q198" s="20"/>
      <c r="R198" s="21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</row>
    <row r="199" spans="1:183" ht="15" x14ac:dyDescent="0.2">
      <c r="A199" s="245" t="s">
        <v>206</v>
      </c>
      <c r="B199" s="245"/>
      <c r="C199" s="245"/>
      <c r="D199" s="245"/>
      <c r="E199" s="245"/>
      <c r="F199" s="245"/>
      <c r="G199" s="245"/>
      <c r="H199" s="245"/>
      <c r="I199" s="245"/>
      <c r="J199" s="245"/>
      <c r="K199" s="245"/>
      <c r="L199" s="245"/>
      <c r="M199" s="245"/>
      <c r="N199" s="245"/>
      <c r="O199" s="20"/>
      <c r="P199" s="20"/>
      <c r="Q199" s="20"/>
      <c r="R199" s="21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</row>
    <row r="200" spans="1:183" x14ac:dyDescent="0.2">
      <c r="A200" s="220" t="s">
        <v>253</v>
      </c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0"/>
      <c r="P200" s="20"/>
      <c r="Q200" s="20"/>
      <c r="R200" s="21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</row>
    <row r="201" spans="1:183" x14ac:dyDescent="0.2">
      <c r="A201" s="220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0"/>
      <c r="P201" s="20"/>
      <c r="Q201" s="20"/>
      <c r="R201" s="21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</row>
    <row r="202" spans="1:183" x14ac:dyDescent="0.2">
      <c r="A202" s="22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0"/>
      <c r="P202" s="20"/>
      <c r="Q202" s="20"/>
      <c r="R202" s="21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</row>
    <row r="203" spans="1:183" x14ac:dyDescent="0.2">
      <c r="A203" s="20"/>
      <c r="B203" s="20"/>
      <c r="C203" s="20"/>
      <c r="D203" s="20"/>
      <c r="E203" s="20"/>
      <c r="F203" s="115"/>
      <c r="G203" s="115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1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</row>
    <row r="204" spans="1:183" ht="15" x14ac:dyDescent="0.2">
      <c r="A204" s="249" t="s">
        <v>254</v>
      </c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0"/>
      <c r="Q204" s="20"/>
      <c r="R204" s="21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</row>
    <row r="205" spans="1:183" ht="15" x14ac:dyDescent="0.25">
      <c r="A205" s="302" t="s">
        <v>255</v>
      </c>
      <c r="B205" s="302"/>
      <c r="C205" s="302"/>
      <c r="D205" s="302"/>
      <c r="E205" s="302"/>
      <c r="F205" s="302"/>
      <c r="I205" s="20"/>
      <c r="R205" s="21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</row>
    <row r="206" spans="1:183" ht="15" x14ac:dyDescent="0.25">
      <c r="A206" s="303" t="s">
        <v>109</v>
      </c>
      <c r="B206" s="304"/>
      <c r="C206" s="305" t="s">
        <v>230</v>
      </c>
      <c r="D206" s="251" t="s">
        <v>210</v>
      </c>
      <c r="E206" s="305" t="s">
        <v>231</v>
      </c>
      <c r="F206" s="251" t="s">
        <v>99</v>
      </c>
      <c r="G206" s="251" t="s">
        <v>203</v>
      </c>
      <c r="H206"/>
      <c r="I206"/>
      <c r="P206" s="21"/>
      <c r="Q206" s="21"/>
      <c r="R206" s="21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</row>
    <row r="207" spans="1:183" x14ac:dyDescent="0.2">
      <c r="A207" s="306" t="s">
        <v>256</v>
      </c>
      <c r="B207" s="306"/>
      <c r="C207" s="109" t="s">
        <v>257</v>
      </c>
      <c r="D207" s="307">
        <v>10</v>
      </c>
      <c r="E207" s="308">
        <v>150</v>
      </c>
      <c r="F207" s="102">
        <f t="shared" ref="F207:F208" si="16">D207*E207</f>
        <v>1500</v>
      </c>
      <c r="G207" s="102">
        <f>+F207*2</f>
        <v>3000</v>
      </c>
      <c r="P207" s="21"/>
      <c r="Q207" s="21"/>
      <c r="R207" s="21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</row>
    <row r="208" spans="1:183" x14ac:dyDescent="0.2">
      <c r="A208" s="306" t="s">
        <v>258</v>
      </c>
      <c r="B208" s="306"/>
      <c r="C208" s="109" t="s">
        <v>259</v>
      </c>
      <c r="D208" s="307">
        <v>1</v>
      </c>
      <c r="E208" s="308">
        <v>150</v>
      </c>
      <c r="F208" s="102">
        <f t="shared" si="16"/>
        <v>150</v>
      </c>
      <c r="G208" s="102">
        <f>+F208</f>
        <v>150</v>
      </c>
      <c r="H208" s="21"/>
      <c r="I208" s="20"/>
      <c r="P208" s="21"/>
      <c r="Q208" s="21"/>
      <c r="R208" s="21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</row>
    <row r="209" spans="1:183" ht="15" x14ac:dyDescent="0.25">
      <c r="A209" s="309" t="s">
        <v>234</v>
      </c>
      <c r="B209" s="310"/>
      <c r="C209" s="310"/>
      <c r="D209" s="310"/>
      <c r="E209" s="310"/>
      <c r="F209" s="311">
        <f>SUM(F207:F208)</f>
        <v>1650</v>
      </c>
      <c r="G209" s="311">
        <f>SUM(G207:G208)</f>
        <v>3150</v>
      </c>
      <c r="H209" s="11"/>
      <c r="I209" s="20"/>
      <c r="P209" s="11"/>
      <c r="Q209" s="11"/>
      <c r="R209" s="21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</row>
    <row r="210" spans="1:183" x14ac:dyDescent="0.2">
      <c r="I210" s="20"/>
      <c r="J210" s="20"/>
      <c r="K210" s="20"/>
      <c r="L210" s="20"/>
      <c r="M210" s="20"/>
      <c r="N210" s="20"/>
      <c r="O210" s="20"/>
      <c r="P210" s="20"/>
      <c r="Q210" s="20"/>
      <c r="R210" s="21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</row>
    <row r="211" spans="1:183" ht="15" x14ac:dyDescent="0.25">
      <c r="A211" s="302" t="s">
        <v>260</v>
      </c>
      <c r="B211" s="302"/>
      <c r="C211" s="302"/>
      <c r="D211" s="302"/>
      <c r="E211" s="302"/>
      <c r="F211" s="302"/>
      <c r="I211" s="20"/>
      <c r="R211" s="21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</row>
    <row r="212" spans="1:183" ht="60" customHeight="1" x14ac:dyDescent="0.2">
      <c r="A212" s="312" t="s">
        <v>109</v>
      </c>
      <c r="B212" s="313"/>
      <c r="C212" s="305" t="s">
        <v>230</v>
      </c>
      <c r="D212" s="251" t="s">
        <v>210</v>
      </c>
      <c r="E212" s="305" t="s">
        <v>231</v>
      </c>
      <c r="F212" s="251" t="s">
        <v>99</v>
      </c>
      <c r="G212" s="314" t="s">
        <v>215</v>
      </c>
      <c r="H212" s="315" t="s">
        <v>261</v>
      </c>
      <c r="I212" s="20"/>
      <c r="R212" s="21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</row>
    <row r="213" spans="1:183" ht="28.5" x14ac:dyDescent="0.2">
      <c r="A213" s="141" t="s">
        <v>262</v>
      </c>
      <c r="B213" s="143"/>
      <c r="C213" s="316" t="s">
        <v>263</v>
      </c>
      <c r="D213" s="307">
        <v>1</v>
      </c>
      <c r="E213" s="308">
        <v>254</v>
      </c>
      <c r="F213" s="102">
        <f>+D213*E213</f>
        <v>254</v>
      </c>
      <c r="G213" s="317">
        <v>1</v>
      </c>
      <c r="H213" s="102">
        <f t="shared" ref="H213" si="17">F213*G213</f>
        <v>254</v>
      </c>
      <c r="I213" s="20"/>
      <c r="R213" s="21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</row>
    <row r="214" spans="1:183" ht="15" x14ac:dyDescent="0.25">
      <c r="A214" s="318" t="s">
        <v>234</v>
      </c>
      <c r="B214" s="319"/>
      <c r="C214" s="319"/>
      <c r="D214" s="319"/>
      <c r="E214" s="319"/>
      <c r="F214" s="320">
        <f>SUM(F213:F213)</f>
        <v>254</v>
      </c>
      <c r="G214" s="321"/>
      <c r="H214" s="322">
        <f>SUM(H213:H213)</f>
        <v>254</v>
      </c>
      <c r="I214" s="20"/>
      <c r="R214" s="21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</row>
    <row r="215" spans="1:183" ht="15" x14ac:dyDescent="0.25">
      <c r="A215" s="11"/>
      <c r="B215" s="11"/>
      <c r="C215" s="11"/>
      <c r="D215" s="11"/>
      <c r="E215" s="11"/>
      <c r="F215" s="11"/>
      <c r="G215" s="11"/>
      <c r="H215" s="11"/>
      <c r="I215" s="20"/>
      <c r="R215" s="21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</row>
    <row r="216" spans="1:183" ht="15" x14ac:dyDescent="0.25">
      <c r="A216" s="323" t="s">
        <v>264</v>
      </c>
      <c r="B216" s="324"/>
      <c r="C216" s="324"/>
      <c r="D216" s="324"/>
      <c r="E216" s="324"/>
      <c r="F216" s="324"/>
      <c r="G216"/>
      <c r="H216"/>
      <c r="I216"/>
      <c r="R216" s="21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</row>
    <row r="217" spans="1:183" ht="15" x14ac:dyDescent="0.25">
      <c r="A217" s="303" t="s">
        <v>109</v>
      </c>
      <c r="B217" s="304"/>
      <c r="C217" s="305" t="s">
        <v>230</v>
      </c>
      <c r="D217" s="251" t="s">
        <v>210</v>
      </c>
      <c r="E217" s="305" t="s">
        <v>231</v>
      </c>
      <c r="F217" s="251" t="s">
        <v>99</v>
      </c>
      <c r="G217" s="11"/>
      <c r="H217" s="11"/>
      <c r="I217" s="20"/>
      <c r="R217" s="21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</row>
    <row r="218" spans="1:183" ht="15" customHeight="1" x14ac:dyDescent="0.2">
      <c r="A218" s="325" t="s">
        <v>265</v>
      </c>
      <c r="B218" s="326"/>
      <c r="C218" s="4" t="s">
        <v>266</v>
      </c>
      <c r="D218" s="327">
        <v>1</v>
      </c>
      <c r="E218" s="328">
        <v>80</v>
      </c>
      <c r="F218" s="285">
        <f t="shared" ref="F218" si="18">D218*E218</f>
        <v>80</v>
      </c>
      <c r="G218" s="329"/>
      <c r="H218" s="330"/>
      <c r="I218" s="330"/>
      <c r="J218" s="330"/>
      <c r="K218" s="330"/>
      <c r="L218" s="330"/>
      <c r="M218" s="330"/>
      <c r="R218" s="21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</row>
    <row r="219" spans="1:183" ht="15" x14ac:dyDescent="0.25">
      <c r="A219" s="309" t="s">
        <v>234</v>
      </c>
      <c r="B219" s="310"/>
      <c r="C219" s="310"/>
      <c r="D219" s="310"/>
      <c r="E219" s="310"/>
      <c r="F219" s="311">
        <f>SUM(F218:F218)</f>
        <v>80</v>
      </c>
      <c r="G219" s="329"/>
      <c r="H219" s="330"/>
      <c r="I219" s="330"/>
      <c r="J219" s="330"/>
      <c r="K219" s="330"/>
      <c r="L219" s="330"/>
      <c r="M219" s="330"/>
      <c r="N219" s="20"/>
      <c r="O219" s="20"/>
      <c r="P219" s="20"/>
      <c r="Q219" s="20"/>
      <c r="R219" s="21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</row>
    <row r="220" spans="1:183" ht="15" x14ac:dyDescent="0.2">
      <c r="A220" s="245" t="s">
        <v>206</v>
      </c>
      <c r="B220" s="245"/>
      <c r="C220" s="245"/>
      <c r="D220" s="245"/>
      <c r="E220" s="245"/>
      <c r="F220" s="245"/>
      <c r="G220" s="245"/>
      <c r="H220" s="245"/>
      <c r="I220" s="245"/>
      <c r="J220" s="245"/>
      <c r="K220" s="245"/>
      <c r="L220" s="245"/>
      <c r="M220" s="245"/>
      <c r="N220" s="245"/>
      <c r="O220" s="20"/>
      <c r="P220" s="20"/>
      <c r="Q220" s="20"/>
      <c r="R220" s="21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</row>
    <row r="221" spans="1:183" x14ac:dyDescent="0.2">
      <c r="A221" s="220" t="s">
        <v>267</v>
      </c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0"/>
      <c r="P221" s="20"/>
      <c r="Q221" s="20"/>
      <c r="R221" s="21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</row>
    <row r="222" spans="1:183" x14ac:dyDescent="0.2">
      <c r="A222" s="220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0"/>
      <c r="P222" s="20"/>
      <c r="Q222" s="20"/>
      <c r="R222" s="21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</row>
    <row r="223" spans="1:183" x14ac:dyDescent="0.2">
      <c r="A223" s="220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0"/>
      <c r="P223" s="20"/>
      <c r="Q223" s="20"/>
      <c r="R223" s="21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</row>
    <row r="224" spans="1:183" ht="15" x14ac:dyDescent="0.25">
      <c r="A224" s="331"/>
      <c r="B224" s="332"/>
      <c r="C224" s="332"/>
      <c r="D224" s="332"/>
      <c r="E224" s="332"/>
      <c r="F224" s="332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1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</row>
    <row r="225" spans="1:183" ht="15" x14ac:dyDescent="0.25">
      <c r="A225" s="323" t="s">
        <v>268</v>
      </c>
      <c r="B225" s="323"/>
      <c r="C225" s="323"/>
      <c r="D225" s="323"/>
      <c r="E225" s="323"/>
      <c r="F225" s="323"/>
      <c r="G225" s="323"/>
      <c r="H225" s="323"/>
      <c r="I225" s="323"/>
      <c r="J225" s="323"/>
      <c r="K225" s="323"/>
      <c r="L225" s="20"/>
      <c r="M225" s="20"/>
      <c r="N225" s="20"/>
      <c r="O225" s="20"/>
      <c r="P225" s="20"/>
      <c r="Q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</row>
    <row r="226" spans="1:183" ht="15" x14ac:dyDescent="0.2">
      <c r="A226" s="333" t="s">
        <v>269</v>
      </c>
      <c r="B226" s="333"/>
      <c r="C226" s="333"/>
      <c r="D226" s="333"/>
      <c r="E226" s="333"/>
      <c r="F226" s="333"/>
      <c r="G226" s="333"/>
      <c r="H226" s="333"/>
      <c r="I226" s="333"/>
      <c r="J226" s="333"/>
      <c r="K226" s="20"/>
      <c r="L226" s="20"/>
      <c r="M226" s="20"/>
      <c r="N226" s="20"/>
      <c r="O226" s="20"/>
      <c r="P226" s="20"/>
      <c r="Q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</row>
    <row r="227" spans="1:183" s="341" customFormat="1" ht="12.75" x14ac:dyDescent="0.2">
      <c r="A227" s="334" t="s">
        <v>109</v>
      </c>
      <c r="B227" s="334"/>
      <c r="C227" s="334"/>
      <c r="D227" s="335" t="s">
        <v>270</v>
      </c>
      <c r="E227" s="336"/>
      <c r="F227" s="337"/>
      <c r="G227" s="338" t="s">
        <v>238</v>
      </c>
      <c r="H227" s="339"/>
      <c r="I227" s="339"/>
      <c r="J227" s="340"/>
      <c r="R227" s="342"/>
      <c r="V227" s="343"/>
      <c r="W227" s="343"/>
      <c r="X227" s="343"/>
      <c r="Y227" s="343"/>
      <c r="Z227" s="343"/>
      <c r="AA227" s="343"/>
      <c r="AB227" s="343"/>
      <c r="AC227" s="343"/>
      <c r="AD227" s="343"/>
      <c r="AE227" s="343"/>
      <c r="AF227" s="343"/>
      <c r="AG227" s="343"/>
      <c r="AH227" s="343"/>
      <c r="AI227" s="343"/>
      <c r="AJ227" s="343"/>
      <c r="AK227" s="343"/>
      <c r="AL227" s="343"/>
      <c r="AM227" s="343"/>
      <c r="AN227" s="343"/>
      <c r="AO227" s="343"/>
      <c r="AP227" s="343"/>
      <c r="AQ227" s="343"/>
      <c r="AR227" s="343"/>
      <c r="AS227" s="343"/>
      <c r="AT227" s="343"/>
      <c r="AU227" s="343"/>
      <c r="AV227" s="343"/>
      <c r="AW227" s="343"/>
      <c r="AX227" s="343"/>
      <c r="AY227" s="343"/>
      <c r="AZ227" s="343"/>
      <c r="BA227" s="343"/>
      <c r="BB227" s="343"/>
      <c r="BC227" s="343"/>
      <c r="BD227" s="343"/>
      <c r="BE227" s="343"/>
      <c r="BF227" s="343"/>
      <c r="BG227" s="343"/>
      <c r="BH227" s="343"/>
      <c r="BI227" s="343"/>
      <c r="BJ227" s="343"/>
      <c r="BK227" s="343"/>
      <c r="BL227" s="343"/>
      <c r="BM227" s="343"/>
      <c r="BN227" s="343"/>
      <c r="BO227" s="343"/>
      <c r="BP227" s="343"/>
      <c r="BQ227" s="343"/>
      <c r="BR227" s="343"/>
      <c r="BS227" s="343"/>
      <c r="BT227" s="343"/>
      <c r="BU227" s="343"/>
      <c r="BV227" s="343"/>
      <c r="BW227" s="343"/>
      <c r="BX227" s="343"/>
      <c r="BY227" s="343"/>
      <c r="BZ227" s="343"/>
      <c r="CA227" s="343"/>
      <c r="CB227" s="343"/>
      <c r="CC227" s="343"/>
      <c r="CD227" s="343"/>
      <c r="CE227" s="343"/>
      <c r="CF227" s="343"/>
      <c r="CG227" s="343"/>
      <c r="CH227" s="343"/>
      <c r="CI227" s="343"/>
      <c r="CJ227" s="343"/>
      <c r="CK227" s="343"/>
      <c r="CL227" s="343"/>
      <c r="CM227" s="343"/>
      <c r="CN227" s="343"/>
      <c r="CO227" s="343"/>
      <c r="CP227" s="343"/>
      <c r="CQ227" s="343"/>
      <c r="CR227" s="343"/>
      <c r="CS227" s="343"/>
      <c r="CT227" s="343"/>
      <c r="CU227" s="343"/>
      <c r="CV227" s="343"/>
      <c r="CW227" s="343"/>
      <c r="CX227" s="343"/>
      <c r="CY227" s="343"/>
      <c r="CZ227" s="343"/>
      <c r="DA227" s="343"/>
      <c r="DB227" s="343"/>
      <c r="DC227" s="343"/>
      <c r="DD227" s="343"/>
      <c r="DE227" s="343"/>
      <c r="DF227" s="343"/>
      <c r="DG227" s="343"/>
      <c r="DH227" s="343"/>
      <c r="DI227" s="343"/>
      <c r="DJ227" s="343"/>
      <c r="DK227" s="343"/>
      <c r="DL227" s="343"/>
      <c r="DM227" s="343"/>
      <c r="DN227" s="343"/>
      <c r="DO227" s="343"/>
      <c r="DP227" s="343"/>
      <c r="DQ227" s="343"/>
      <c r="DR227" s="343"/>
      <c r="DS227" s="343"/>
      <c r="DT227" s="343"/>
      <c r="DU227" s="343"/>
      <c r="DV227" s="343"/>
      <c r="DW227" s="343"/>
      <c r="DX227" s="343"/>
      <c r="DY227" s="343"/>
      <c r="DZ227" s="343"/>
      <c r="EA227" s="343"/>
      <c r="EB227" s="343"/>
      <c r="EC227" s="343"/>
      <c r="ED227" s="343"/>
      <c r="EE227" s="343"/>
      <c r="EF227" s="343"/>
      <c r="EG227" s="343"/>
      <c r="EH227" s="343"/>
      <c r="EI227" s="343"/>
      <c r="EJ227" s="343"/>
      <c r="EK227" s="343"/>
      <c r="EL227" s="343"/>
      <c r="EM227" s="343"/>
      <c r="EN227" s="343"/>
      <c r="EO227" s="343"/>
      <c r="EP227" s="343"/>
      <c r="EQ227" s="343"/>
      <c r="ER227" s="343"/>
      <c r="ES227" s="343"/>
      <c r="ET227" s="343"/>
      <c r="EU227" s="343"/>
      <c r="EV227" s="343"/>
      <c r="EW227" s="343"/>
      <c r="EX227" s="343"/>
      <c r="EY227" s="343"/>
      <c r="EZ227" s="343"/>
      <c r="FA227" s="343"/>
      <c r="FB227" s="343"/>
      <c r="FC227" s="343"/>
      <c r="FD227" s="343"/>
      <c r="FE227" s="343"/>
      <c r="FF227" s="343"/>
      <c r="FG227" s="343"/>
      <c r="FH227" s="343"/>
      <c r="FI227" s="343"/>
      <c r="FJ227" s="343"/>
      <c r="FK227" s="343"/>
      <c r="FL227" s="343"/>
      <c r="FM227" s="343"/>
      <c r="FN227" s="343"/>
      <c r="FO227" s="343"/>
      <c r="FP227" s="343"/>
      <c r="FQ227" s="343"/>
      <c r="FR227" s="343"/>
      <c r="FS227" s="343"/>
      <c r="FT227" s="343"/>
      <c r="FU227" s="343"/>
      <c r="FV227" s="343"/>
      <c r="FW227" s="343"/>
      <c r="FX227" s="343"/>
      <c r="FY227" s="343"/>
      <c r="FZ227" s="343"/>
      <c r="GA227" s="343"/>
    </row>
    <row r="228" spans="1:183" s="341" customFormat="1" ht="38.25" x14ac:dyDescent="0.2">
      <c r="A228" s="334"/>
      <c r="B228" s="334"/>
      <c r="C228" s="334"/>
      <c r="D228" s="344" t="s">
        <v>271</v>
      </c>
      <c r="E228" s="344" t="s">
        <v>272</v>
      </c>
      <c r="F228" s="344" t="s">
        <v>273</v>
      </c>
      <c r="G228" s="345" t="s">
        <v>230</v>
      </c>
      <c r="H228" s="345" t="s">
        <v>210</v>
      </c>
      <c r="I228" s="345" t="s">
        <v>211</v>
      </c>
      <c r="J228" s="345" t="s">
        <v>239</v>
      </c>
      <c r="K228" s="345" t="s">
        <v>203</v>
      </c>
      <c r="R228" s="342"/>
      <c r="V228" s="343"/>
      <c r="W228" s="343"/>
      <c r="X228" s="343"/>
      <c r="Y228" s="343"/>
      <c r="Z228" s="343"/>
      <c r="AA228" s="343"/>
      <c r="AB228" s="343"/>
      <c r="AC228" s="343"/>
      <c r="AD228" s="343"/>
      <c r="AE228" s="343"/>
      <c r="AF228" s="343"/>
      <c r="AG228" s="343"/>
      <c r="AH228" s="343"/>
      <c r="AI228" s="343"/>
      <c r="AJ228" s="343"/>
      <c r="AK228" s="343"/>
      <c r="AL228" s="343"/>
      <c r="AM228" s="343"/>
      <c r="AN228" s="343"/>
      <c r="AO228" s="343"/>
      <c r="AP228" s="343"/>
      <c r="AQ228" s="343"/>
      <c r="AR228" s="343"/>
      <c r="AS228" s="343"/>
      <c r="AT228" s="343"/>
      <c r="AU228" s="343"/>
      <c r="AV228" s="343"/>
      <c r="AW228" s="343"/>
      <c r="AX228" s="343"/>
      <c r="AY228" s="343"/>
      <c r="AZ228" s="343"/>
      <c r="BA228" s="343"/>
      <c r="BB228" s="343"/>
      <c r="BC228" s="343"/>
      <c r="BD228" s="343"/>
      <c r="BE228" s="343"/>
      <c r="BF228" s="343"/>
      <c r="BG228" s="343"/>
      <c r="BH228" s="343"/>
      <c r="BI228" s="343"/>
      <c r="BJ228" s="343"/>
      <c r="BK228" s="343"/>
      <c r="BL228" s="343"/>
      <c r="BM228" s="343"/>
      <c r="BN228" s="343"/>
      <c r="BO228" s="343"/>
      <c r="BP228" s="343"/>
      <c r="BQ228" s="343"/>
      <c r="BR228" s="343"/>
      <c r="BS228" s="343"/>
      <c r="BT228" s="343"/>
      <c r="BU228" s="343"/>
      <c r="BV228" s="343"/>
      <c r="BW228" s="343"/>
      <c r="BX228" s="343"/>
      <c r="BY228" s="343"/>
      <c r="BZ228" s="343"/>
      <c r="CA228" s="343"/>
      <c r="CB228" s="343"/>
      <c r="CC228" s="343"/>
      <c r="CD228" s="343"/>
      <c r="CE228" s="343"/>
      <c r="CF228" s="343"/>
      <c r="CG228" s="343"/>
      <c r="CH228" s="343"/>
      <c r="CI228" s="343"/>
      <c r="CJ228" s="343"/>
      <c r="CK228" s="343"/>
      <c r="CL228" s="343"/>
      <c r="CM228" s="343"/>
      <c r="CN228" s="343"/>
      <c r="CO228" s="343"/>
      <c r="CP228" s="343"/>
      <c r="CQ228" s="343"/>
      <c r="CR228" s="343"/>
      <c r="CS228" s="343"/>
      <c r="CT228" s="343"/>
      <c r="CU228" s="343"/>
      <c r="CV228" s="343"/>
      <c r="CW228" s="343"/>
      <c r="CX228" s="343"/>
      <c r="CY228" s="343"/>
      <c r="CZ228" s="343"/>
      <c r="DA228" s="343"/>
      <c r="DB228" s="343"/>
      <c r="DC228" s="343"/>
      <c r="DD228" s="343"/>
      <c r="DE228" s="343"/>
      <c r="DF228" s="343"/>
      <c r="DG228" s="343"/>
      <c r="DH228" s="343"/>
      <c r="DI228" s="343"/>
      <c r="DJ228" s="343"/>
      <c r="DK228" s="343"/>
      <c r="DL228" s="343"/>
      <c r="DM228" s="343"/>
      <c r="DN228" s="343"/>
      <c r="DO228" s="343"/>
      <c r="DP228" s="343"/>
      <c r="DQ228" s="343"/>
      <c r="DR228" s="343"/>
      <c r="DS228" s="343"/>
      <c r="DT228" s="343"/>
      <c r="DU228" s="343"/>
      <c r="DV228" s="343"/>
      <c r="DW228" s="343"/>
      <c r="DX228" s="343"/>
      <c r="DY228" s="343"/>
      <c r="DZ228" s="343"/>
      <c r="EA228" s="343"/>
      <c r="EB228" s="343"/>
      <c r="EC228" s="343"/>
      <c r="ED228" s="343"/>
      <c r="EE228" s="343"/>
      <c r="EF228" s="343"/>
      <c r="EG228" s="343"/>
      <c r="EH228" s="343"/>
      <c r="EI228" s="343"/>
      <c r="EJ228" s="343"/>
      <c r="EK228" s="343"/>
      <c r="EL228" s="343"/>
      <c r="EM228" s="343"/>
      <c r="EN228" s="343"/>
      <c r="EO228" s="343"/>
      <c r="EP228" s="343"/>
      <c r="EQ228" s="343"/>
      <c r="ER228" s="343"/>
      <c r="ES228" s="343"/>
      <c r="ET228" s="343"/>
      <c r="EU228" s="343"/>
      <c r="EV228" s="343"/>
      <c r="EW228" s="343"/>
      <c r="EX228" s="343"/>
      <c r="EY228" s="343"/>
      <c r="EZ228" s="343"/>
      <c r="FA228" s="343"/>
      <c r="FB228" s="343"/>
      <c r="FC228" s="343"/>
      <c r="FD228" s="343"/>
      <c r="FE228" s="343"/>
      <c r="FF228" s="343"/>
      <c r="FG228" s="343"/>
      <c r="FH228" s="343"/>
      <c r="FI228" s="343"/>
      <c r="FJ228" s="343"/>
      <c r="FK228" s="343"/>
      <c r="FL228" s="343"/>
      <c r="FM228" s="343"/>
      <c r="FN228" s="343"/>
      <c r="FO228" s="343"/>
      <c r="FP228" s="343"/>
      <c r="FQ228" s="343"/>
      <c r="FR228" s="343"/>
      <c r="FS228" s="343"/>
      <c r="FT228" s="343"/>
      <c r="FU228" s="343"/>
      <c r="FV228" s="343"/>
      <c r="FW228" s="343"/>
      <c r="FX228" s="343"/>
      <c r="FY228" s="343"/>
      <c r="FZ228" s="343"/>
      <c r="GA228" s="343"/>
    </row>
    <row r="229" spans="1:183" ht="15" x14ac:dyDescent="0.2">
      <c r="A229" s="230" t="s">
        <v>274</v>
      </c>
      <c r="B229" s="230"/>
      <c r="C229" s="230"/>
      <c r="D229" s="307"/>
      <c r="E229" s="307"/>
      <c r="F229" s="307"/>
      <c r="G229" s="346"/>
      <c r="H229" s="346"/>
      <c r="I229" s="346"/>
      <c r="J229" s="219"/>
      <c r="K229" s="219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</row>
    <row r="230" spans="1:183" x14ac:dyDescent="0.2">
      <c r="A230" s="149" t="s">
        <v>275</v>
      </c>
      <c r="B230" s="149"/>
      <c r="C230" s="149"/>
      <c r="D230" s="307"/>
      <c r="E230" s="307">
        <v>1</v>
      </c>
      <c r="F230" s="307"/>
      <c r="G230" s="100" t="s">
        <v>259</v>
      </c>
      <c r="H230" s="100">
        <f>+SUM(E230:F230)</f>
        <v>1</v>
      </c>
      <c r="I230" s="102">
        <v>150</v>
      </c>
      <c r="J230" s="102">
        <f t="shared" ref="J230:J237" si="19">H230*I230</f>
        <v>150</v>
      </c>
      <c r="K230" s="102">
        <f>+J230*2</f>
        <v>300</v>
      </c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</row>
    <row r="231" spans="1:183" x14ac:dyDescent="0.2">
      <c r="A231" s="149" t="s">
        <v>276</v>
      </c>
      <c r="B231" s="149"/>
      <c r="C231" s="149"/>
      <c r="D231" s="307"/>
      <c r="E231" s="307">
        <v>1</v>
      </c>
      <c r="F231" s="307">
        <v>4</v>
      </c>
      <c r="G231" s="100" t="s">
        <v>259</v>
      </c>
      <c r="H231" s="100">
        <f t="shared" ref="H231:H237" si="20">+SUM(E231:F231)</f>
        <v>5</v>
      </c>
      <c r="I231" s="102">
        <v>150</v>
      </c>
      <c r="J231" s="102">
        <f t="shared" si="19"/>
        <v>750</v>
      </c>
      <c r="K231" s="102">
        <f t="shared" ref="K231:K237" si="21">+J231*2</f>
        <v>1500</v>
      </c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</row>
    <row r="232" spans="1:183" x14ac:dyDescent="0.2">
      <c r="A232" s="149" t="s">
        <v>277</v>
      </c>
      <c r="B232" s="149"/>
      <c r="C232" s="149"/>
      <c r="D232" s="307"/>
      <c r="E232" s="307">
        <v>2</v>
      </c>
      <c r="F232" s="307">
        <v>13</v>
      </c>
      <c r="G232" s="100" t="s">
        <v>259</v>
      </c>
      <c r="H232" s="100">
        <f t="shared" si="20"/>
        <v>15</v>
      </c>
      <c r="I232" s="102">
        <v>150</v>
      </c>
      <c r="J232" s="102">
        <f t="shared" si="19"/>
        <v>2250</v>
      </c>
      <c r="K232" s="102">
        <f t="shared" si="21"/>
        <v>4500</v>
      </c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</row>
    <row r="233" spans="1:183" x14ac:dyDescent="0.2">
      <c r="A233" s="149" t="s">
        <v>278</v>
      </c>
      <c r="B233" s="149"/>
      <c r="C233" s="149"/>
      <c r="D233" s="307"/>
      <c r="E233" s="307">
        <v>1</v>
      </c>
      <c r="F233" s="307">
        <v>1</v>
      </c>
      <c r="G233" s="100" t="s">
        <v>259</v>
      </c>
      <c r="H233" s="100">
        <f t="shared" si="20"/>
        <v>2</v>
      </c>
      <c r="I233" s="102">
        <v>150</v>
      </c>
      <c r="J233" s="102">
        <f t="shared" si="19"/>
        <v>300</v>
      </c>
      <c r="K233" s="102">
        <f t="shared" si="21"/>
        <v>600</v>
      </c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</row>
    <row r="234" spans="1:183" ht="15" customHeight="1" x14ac:dyDescent="0.25">
      <c r="A234" s="149" t="s">
        <v>279</v>
      </c>
      <c r="B234" s="149"/>
      <c r="C234" s="149"/>
      <c r="D234" s="307"/>
      <c r="E234" s="307">
        <v>1</v>
      </c>
      <c r="F234" s="307">
        <v>1</v>
      </c>
      <c r="G234" s="100" t="s">
        <v>259</v>
      </c>
      <c r="H234" s="100">
        <f t="shared" si="20"/>
        <v>2</v>
      </c>
      <c r="I234" s="102">
        <v>150</v>
      </c>
      <c r="J234" s="102">
        <f t="shared" si="19"/>
        <v>300</v>
      </c>
      <c r="K234" s="102">
        <f t="shared" si="21"/>
        <v>600</v>
      </c>
      <c r="M234"/>
      <c r="N234"/>
      <c r="O234"/>
      <c r="P234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</row>
    <row r="235" spans="1:183" ht="15" x14ac:dyDescent="0.25">
      <c r="A235" s="149" t="s">
        <v>280</v>
      </c>
      <c r="B235" s="149"/>
      <c r="C235" s="149"/>
      <c r="D235" s="307"/>
      <c r="E235" s="307">
        <v>2</v>
      </c>
      <c r="F235" s="307">
        <v>10</v>
      </c>
      <c r="G235" s="100" t="s">
        <v>259</v>
      </c>
      <c r="H235" s="100">
        <f t="shared" si="20"/>
        <v>12</v>
      </c>
      <c r="I235" s="102">
        <v>150</v>
      </c>
      <c r="J235" s="102">
        <f t="shared" si="19"/>
        <v>1800</v>
      </c>
      <c r="K235" s="102">
        <f t="shared" si="21"/>
        <v>3600</v>
      </c>
      <c r="M235"/>
      <c r="N235"/>
      <c r="O235"/>
      <c r="P235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</row>
    <row r="236" spans="1:183" ht="15" x14ac:dyDescent="0.25">
      <c r="A236" s="196" t="s">
        <v>281</v>
      </c>
      <c r="B236" s="196"/>
      <c r="C236" s="196"/>
      <c r="D236" s="307"/>
      <c r="E236" s="307"/>
      <c r="F236" s="307">
        <v>5</v>
      </c>
      <c r="G236" s="100" t="s">
        <v>259</v>
      </c>
      <c r="H236" s="100">
        <f t="shared" si="20"/>
        <v>5</v>
      </c>
      <c r="I236" s="102">
        <v>150</v>
      </c>
      <c r="J236" s="102">
        <f t="shared" si="19"/>
        <v>750</v>
      </c>
      <c r="K236" s="102">
        <f t="shared" si="21"/>
        <v>1500</v>
      </c>
      <c r="M236"/>
      <c r="N236"/>
      <c r="O236"/>
      <c r="P236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</row>
    <row r="237" spans="1:183" ht="15" x14ac:dyDescent="0.25">
      <c r="A237" s="149" t="s">
        <v>282</v>
      </c>
      <c r="B237" s="149"/>
      <c r="C237" s="149"/>
      <c r="D237" s="307"/>
      <c r="E237" s="307">
        <v>4</v>
      </c>
      <c r="F237" s="307"/>
      <c r="G237" s="100" t="s">
        <v>259</v>
      </c>
      <c r="H237" s="100">
        <f t="shared" si="20"/>
        <v>4</v>
      </c>
      <c r="I237" s="102">
        <v>150</v>
      </c>
      <c r="J237" s="102">
        <f t="shared" si="19"/>
        <v>600</v>
      </c>
      <c r="K237" s="102">
        <f t="shared" si="21"/>
        <v>1200</v>
      </c>
      <c r="M237"/>
      <c r="N237"/>
      <c r="O237"/>
      <c r="P237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</row>
    <row r="238" spans="1:183" ht="15" x14ac:dyDescent="0.25">
      <c r="A238" s="347" t="s">
        <v>283</v>
      </c>
      <c r="B238" s="347"/>
      <c r="C238" s="347"/>
      <c r="D238" s="347"/>
      <c r="E238" s="347"/>
      <c r="F238" s="347"/>
      <c r="G238" s="347"/>
      <c r="H238" s="347"/>
      <c r="I238" s="347"/>
      <c r="J238" s="348">
        <f>SUM(J230:J237)</f>
        <v>6900</v>
      </c>
      <c r="K238" s="348">
        <f>+J238*2</f>
        <v>13800</v>
      </c>
      <c r="L238" s="20" t="s">
        <v>284</v>
      </c>
      <c r="M238"/>
      <c r="N238"/>
      <c r="O238"/>
      <c r="P238"/>
      <c r="Q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</row>
    <row r="239" spans="1:183" ht="15" x14ac:dyDescent="0.25">
      <c r="A239" s="347" t="s">
        <v>285</v>
      </c>
      <c r="B239" s="347"/>
      <c r="C239" s="347"/>
      <c r="D239" s="347"/>
      <c r="E239" s="347"/>
      <c r="F239" s="347"/>
      <c r="G239" s="347"/>
      <c r="H239" s="347"/>
      <c r="I239" s="347"/>
      <c r="J239" s="252">
        <f>+J238-(SUMPRODUCT(E230:E237,I230:I237))</f>
        <v>5100</v>
      </c>
      <c r="K239" s="348">
        <f t="shared" ref="K239:K242" si="22">+J239*2</f>
        <v>10200</v>
      </c>
      <c r="L239" s="20" t="s">
        <v>286</v>
      </c>
      <c r="M239" s="349">
        <f>+K239/K238</f>
        <v>0.73913043478260865</v>
      </c>
      <c r="N239"/>
      <c r="O239"/>
      <c r="P239"/>
      <c r="Q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</row>
    <row r="240" spans="1:183" ht="15" x14ac:dyDescent="0.25">
      <c r="A240" s="347" t="s">
        <v>287</v>
      </c>
      <c r="B240" s="347"/>
      <c r="C240" s="347"/>
      <c r="D240" s="347"/>
      <c r="E240" s="347"/>
      <c r="F240" s="347"/>
      <c r="G240" s="347"/>
      <c r="H240" s="347"/>
      <c r="I240" s="347"/>
      <c r="J240" s="252">
        <f>SUMPRODUCT(E230:E237,I230:I237)</f>
        <v>1800</v>
      </c>
      <c r="K240" s="348">
        <f t="shared" si="22"/>
        <v>3600</v>
      </c>
      <c r="L240" s="20" t="s">
        <v>284</v>
      </c>
      <c r="M240"/>
      <c r="N240"/>
      <c r="O240"/>
      <c r="P240"/>
      <c r="Q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</row>
    <row r="241" spans="1:183" ht="15" x14ac:dyDescent="0.25">
      <c r="A241" s="347" t="s">
        <v>288</v>
      </c>
      <c r="B241" s="347"/>
      <c r="C241" s="347"/>
      <c r="D241" s="347"/>
      <c r="E241" s="347"/>
      <c r="F241" s="347"/>
      <c r="G241" s="347"/>
      <c r="H241" s="347"/>
      <c r="I241" s="347"/>
      <c r="J241" s="252">
        <v>750</v>
      </c>
      <c r="K241" s="348">
        <f t="shared" si="22"/>
        <v>1500</v>
      </c>
      <c r="L241" s="20" t="s">
        <v>284</v>
      </c>
      <c r="M241"/>
      <c r="N241"/>
      <c r="O241"/>
      <c r="P241"/>
      <c r="Q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</row>
    <row r="242" spans="1:183" ht="15" x14ac:dyDescent="0.25">
      <c r="A242" s="347" t="s">
        <v>289</v>
      </c>
      <c r="B242" s="347" t="s">
        <v>290</v>
      </c>
      <c r="C242" s="347"/>
      <c r="D242" s="347"/>
      <c r="E242" s="347"/>
      <c r="F242" s="347"/>
      <c r="G242" s="347"/>
      <c r="H242" s="347"/>
      <c r="I242" s="347"/>
      <c r="J242" s="252">
        <v>750</v>
      </c>
      <c r="K242" s="348">
        <f t="shared" si="22"/>
        <v>1500</v>
      </c>
      <c r="L242" s="20" t="s">
        <v>284</v>
      </c>
      <c r="M242"/>
      <c r="N242"/>
      <c r="O242"/>
      <c r="P242"/>
      <c r="Q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</row>
    <row r="243" spans="1:183" ht="15" x14ac:dyDescent="0.2">
      <c r="A243" s="245" t="s">
        <v>106</v>
      </c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0"/>
      <c r="P243" s="20"/>
      <c r="Q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</row>
    <row r="244" spans="1:183" ht="15" customHeight="1" x14ac:dyDescent="0.2">
      <c r="A244" s="220" t="s">
        <v>291</v>
      </c>
      <c r="B244" s="220"/>
      <c r="C244" s="220"/>
      <c r="D244" s="220"/>
      <c r="E244" s="220"/>
      <c r="F244" s="220"/>
      <c r="G244" s="154"/>
      <c r="I244" s="20"/>
      <c r="J244" s="20"/>
      <c r="K244" s="20"/>
      <c r="L244" s="20"/>
      <c r="M244" s="20"/>
      <c r="N244" s="20"/>
      <c r="O244" s="20"/>
      <c r="P244" s="20"/>
      <c r="Q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</row>
    <row r="245" spans="1:183" ht="25.5" customHeight="1" x14ac:dyDescent="0.25">
      <c r="A245" s="220"/>
      <c r="B245" s="220"/>
      <c r="C245" s="220"/>
      <c r="D245" s="220"/>
      <c r="E245" s="220"/>
      <c r="F245" s="220"/>
      <c r="G245" s="154"/>
      <c r="I245"/>
      <c r="J245" s="20"/>
      <c r="K245" s="20"/>
      <c r="L245" s="20"/>
      <c r="M245" s="20"/>
      <c r="N245" s="20"/>
      <c r="O245" s="20"/>
      <c r="P245" s="20"/>
      <c r="Q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</row>
    <row r="246" spans="1:183" ht="27" customHeight="1" x14ac:dyDescent="0.2">
      <c r="A246" s="220"/>
      <c r="B246" s="220"/>
      <c r="C246" s="220"/>
      <c r="D246" s="220"/>
      <c r="E246" s="220"/>
      <c r="F246" s="220"/>
      <c r="G246" s="154"/>
      <c r="I246" s="20"/>
      <c r="J246" s="20"/>
      <c r="K246" s="20"/>
      <c r="L246" s="20"/>
      <c r="M246" s="20"/>
      <c r="N246" s="20"/>
      <c r="O246" s="20"/>
      <c r="P246" s="20"/>
      <c r="Q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</row>
    <row r="247" spans="1:183" x14ac:dyDescent="0.2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1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</row>
    <row r="248" spans="1:183" ht="15" x14ac:dyDescent="0.2">
      <c r="A248" s="350" t="s">
        <v>292</v>
      </c>
      <c r="B248" s="351"/>
      <c r="C248" s="351"/>
      <c r="D248" s="351"/>
      <c r="E248" s="351"/>
      <c r="F248" s="351"/>
      <c r="G248" s="351"/>
      <c r="H248" s="351"/>
      <c r="I248" s="352"/>
      <c r="J248" s="20"/>
      <c r="K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</row>
    <row r="249" spans="1:183" ht="15" x14ac:dyDescent="0.2">
      <c r="A249" s="353" t="s">
        <v>293</v>
      </c>
      <c r="B249" s="353"/>
      <c r="C249" s="353"/>
      <c r="D249" s="353"/>
      <c r="E249" s="353"/>
      <c r="F249" s="353"/>
      <c r="G249" s="353"/>
      <c r="H249" s="353"/>
      <c r="I249" s="353"/>
      <c r="J249" s="353"/>
      <c r="K249" s="20"/>
      <c r="L249" s="20"/>
      <c r="M249" s="20"/>
      <c r="N249" s="20"/>
      <c r="O249" s="20"/>
      <c r="P249" s="20"/>
      <c r="Q249" s="20"/>
      <c r="R249" s="21"/>
      <c r="S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</row>
    <row r="250" spans="1:183" ht="27.6" customHeight="1" x14ac:dyDescent="0.2">
      <c r="A250" s="354" t="s">
        <v>109</v>
      </c>
      <c r="B250" s="355"/>
      <c r="C250" s="356"/>
      <c r="D250" s="357" t="s">
        <v>294</v>
      </c>
      <c r="E250" s="358"/>
      <c r="F250" s="359"/>
      <c r="G250" s="360" t="s">
        <v>295</v>
      </c>
      <c r="H250" s="361"/>
      <c r="I250" s="362"/>
      <c r="J250" s="363" t="s">
        <v>296</v>
      </c>
      <c r="K250" s="364" t="s">
        <v>203</v>
      </c>
      <c r="O250" s="20"/>
      <c r="P250" s="20"/>
      <c r="Q250" s="20"/>
      <c r="R250" s="21"/>
      <c r="S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</row>
    <row r="251" spans="1:183" ht="45.75" customHeight="1" x14ac:dyDescent="0.2">
      <c r="A251" s="365"/>
      <c r="B251" s="366"/>
      <c r="C251" s="367"/>
      <c r="D251" s="368" t="s">
        <v>297</v>
      </c>
      <c r="E251" s="368" t="s">
        <v>298</v>
      </c>
      <c r="F251" s="368" t="s">
        <v>299</v>
      </c>
      <c r="G251" s="368" t="s">
        <v>297</v>
      </c>
      <c r="H251" s="369" t="s">
        <v>298</v>
      </c>
      <c r="I251" s="368" t="s">
        <v>299</v>
      </c>
      <c r="J251" s="363"/>
      <c r="K251" s="370"/>
      <c r="O251" s="20"/>
      <c r="P251" s="20"/>
      <c r="Q251" s="20"/>
      <c r="R251" s="21"/>
      <c r="S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</row>
    <row r="252" spans="1:183" ht="15" x14ac:dyDescent="0.2">
      <c r="A252" s="230" t="s">
        <v>300</v>
      </c>
      <c r="B252" s="230"/>
      <c r="C252" s="230"/>
      <c r="D252" s="117"/>
      <c r="E252" s="117"/>
      <c r="F252" s="117"/>
      <c r="G252" s="109"/>
      <c r="H252" s="109"/>
      <c r="I252" s="109"/>
      <c r="J252" s="232">
        <f>SUM(J253:J258)</f>
        <v>6000</v>
      </c>
      <c r="K252" s="232">
        <f>+J252*2</f>
        <v>12000</v>
      </c>
      <c r="R252" s="4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</row>
    <row r="253" spans="1:183" x14ac:dyDescent="0.2">
      <c r="A253" s="149" t="str">
        <f t="shared" ref="A253:A258" si="23">+A89</f>
        <v>Blanco</v>
      </c>
      <c r="B253" s="149"/>
      <c r="C253" s="149"/>
      <c r="D253" s="102"/>
      <c r="E253" s="102">
        <f>+$F$41</f>
        <v>10</v>
      </c>
      <c r="F253" s="102"/>
      <c r="G253" s="100">
        <f t="shared" ref="G253:G258" si="24">110*D89</f>
        <v>93.5</v>
      </c>
      <c r="H253" s="371">
        <f>$B$46*D89</f>
        <v>510</v>
      </c>
      <c r="I253" s="100">
        <f t="shared" ref="I253:I258" si="25">30*D89</f>
        <v>25.5</v>
      </c>
      <c r="J253" s="372">
        <f t="shared" ref="J253:J258" si="26">E253*H253</f>
        <v>5100</v>
      </c>
      <c r="K253" s="372">
        <f>+J253*2</f>
        <v>10200</v>
      </c>
      <c r="R253" s="4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</row>
    <row r="254" spans="1:183" x14ac:dyDescent="0.2">
      <c r="A254" s="149" t="str">
        <f t="shared" si="23"/>
        <v>Azul</v>
      </c>
      <c r="B254" s="149"/>
      <c r="C254" s="149"/>
      <c r="D254" s="102"/>
      <c r="E254" s="102">
        <f t="shared" ref="E254:E258" si="27">+$F$41</f>
        <v>10</v>
      </c>
      <c r="F254" s="102"/>
      <c r="G254" s="100">
        <f t="shared" si="24"/>
        <v>4.4000000000000004</v>
      </c>
      <c r="H254" s="371">
        <f t="shared" ref="H254:H258" si="28">$B$46*D90</f>
        <v>24</v>
      </c>
      <c r="I254" s="100">
        <f t="shared" si="25"/>
        <v>1.2</v>
      </c>
      <c r="J254" s="372">
        <f t="shared" si="26"/>
        <v>240</v>
      </c>
      <c r="K254" s="372">
        <f t="shared" ref="K254:K287" si="29">+J254*2</f>
        <v>480</v>
      </c>
      <c r="R254" s="4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</row>
    <row r="255" spans="1:183" x14ac:dyDescent="0.2">
      <c r="A255" s="149" t="str">
        <f t="shared" si="23"/>
        <v>Morado</v>
      </c>
      <c r="B255" s="149"/>
      <c r="C255" s="149"/>
      <c r="D255" s="102"/>
      <c r="E255" s="102">
        <f t="shared" si="27"/>
        <v>10</v>
      </c>
      <c r="F255" s="102"/>
      <c r="G255" s="100">
        <f t="shared" si="24"/>
        <v>1.1000000000000001</v>
      </c>
      <c r="H255" s="371">
        <f t="shared" si="28"/>
        <v>6</v>
      </c>
      <c r="I255" s="100">
        <f t="shared" si="25"/>
        <v>0.3</v>
      </c>
      <c r="J255" s="372">
        <f t="shared" si="26"/>
        <v>60</v>
      </c>
      <c r="K255" s="372">
        <f t="shared" si="29"/>
        <v>120</v>
      </c>
      <c r="R255" s="4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</row>
    <row r="256" spans="1:183" x14ac:dyDescent="0.2">
      <c r="A256" s="149" t="str">
        <f t="shared" si="23"/>
        <v>Amarillo</v>
      </c>
      <c r="B256" s="149"/>
      <c r="C256" s="149"/>
      <c r="D256" s="102"/>
      <c r="E256" s="102">
        <f t="shared" si="27"/>
        <v>10</v>
      </c>
      <c r="F256" s="102"/>
      <c r="G256" s="100">
        <f t="shared" si="24"/>
        <v>4.4000000000000004</v>
      </c>
      <c r="H256" s="371">
        <f t="shared" si="28"/>
        <v>24</v>
      </c>
      <c r="I256" s="100">
        <f t="shared" si="25"/>
        <v>1.2</v>
      </c>
      <c r="J256" s="372">
        <f t="shared" si="26"/>
        <v>240</v>
      </c>
      <c r="K256" s="372">
        <f t="shared" si="29"/>
        <v>480</v>
      </c>
      <c r="R256" s="4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</row>
    <row r="257" spans="1:183" x14ac:dyDescent="0.2">
      <c r="A257" s="149" t="str">
        <f t="shared" si="23"/>
        <v>Rojo</v>
      </c>
      <c r="B257" s="149"/>
      <c r="C257" s="149"/>
      <c r="D257" s="102"/>
      <c r="E257" s="102">
        <f t="shared" si="27"/>
        <v>10</v>
      </c>
      <c r="F257" s="102"/>
      <c r="G257" s="100">
        <f t="shared" si="24"/>
        <v>5.5</v>
      </c>
      <c r="H257" s="371">
        <f t="shared" si="28"/>
        <v>30</v>
      </c>
      <c r="I257" s="100">
        <f t="shared" si="25"/>
        <v>1.5</v>
      </c>
      <c r="J257" s="372">
        <f t="shared" si="26"/>
        <v>300</v>
      </c>
      <c r="K257" s="372">
        <f t="shared" si="29"/>
        <v>600</v>
      </c>
      <c r="R257" s="4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</row>
    <row r="258" spans="1:183" x14ac:dyDescent="0.2">
      <c r="A258" s="149" t="str">
        <f t="shared" si="23"/>
        <v>Pinto</v>
      </c>
      <c r="B258" s="149"/>
      <c r="C258" s="149"/>
      <c r="D258" s="102"/>
      <c r="E258" s="102">
        <f t="shared" si="27"/>
        <v>10</v>
      </c>
      <c r="F258" s="102"/>
      <c r="G258" s="100">
        <f t="shared" si="24"/>
        <v>1.1000000000000001</v>
      </c>
      <c r="H258" s="371">
        <f t="shared" si="28"/>
        <v>6</v>
      </c>
      <c r="I258" s="100">
        <f t="shared" si="25"/>
        <v>0.3</v>
      </c>
      <c r="J258" s="372">
        <f t="shared" si="26"/>
        <v>60</v>
      </c>
      <c r="K258" s="372">
        <f t="shared" si="29"/>
        <v>120</v>
      </c>
      <c r="R258" s="4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  <c r="DR258" s="20"/>
      <c r="DS258" s="20"/>
      <c r="DT258" s="20"/>
      <c r="DU258" s="20"/>
      <c r="DV258" s="20"/>
      <c r="DW258" s="20"/>
      <c r="DX258" s="20"/>
      <c r="DY258" s="20"/>
      <c r="DZ258" s="20"/>
      <c r="EA258" s="20"/>
      <c r="EB258" s="20"/>
      <c r="EC258" s="20"/>
      <c r="ED258" s="20"/>
      <c r="EE258" s="20"/>
      <c r="EF258" s="20"/>
      <c r="EG258" s="20"/>
      <c r="EH258" s="20"/>
      <c r="EI258" s="20"/>
      <c r="EJ258" s="20"/>
      <c r="EK258" s="20"/>
      <c r="EL258" s="20"/>
      <c r="EM258" s="20"/>
      <c r="EN258" s="20"/>
      <c r="EO258" s="20"/>
      <c r="EP258" s="20"/>
      <c r="EQ258" s="20"/>
      <c r="ER258" s="20"/>
      <c r="ES258" s="20"/>
      <c r="ET258" s="20"/>
      <c r="EU258" s="20"/>
      <c r="EV258" s="20"/>
      <c r="EW258" s="20"/>
      <c r="EX258" s="20"/>
      <c r="EY258" s="20"/>
      <c r="EZ258" s="20"/>
      <c r="FA258" s="20"/>
      <c r="FB258" s="20"/>
      <c r="FC258" s="20"/>
      <c r="FD258" s="20"/>
      <c r="FE258" s="20"/>
      <c r="FF258" s="20"/>
      <c r="FG258" s="20"/>
      <c r="FH258" s="20"/>
      <c r="FI258" s="20"/>
      <c r="FJ258" s="20"/>
      <c r="FK258" s="20"/>
      <c r="FL258" s="20"/>
      <c r="FM258" s="20"/>
      <c r="FN258" s="20"/>
      <c r="FO258" s="20"/>
      <c r="FP258" s="20"/>
      <c r="FQ258" s="20"/>
      <c r="FR258" s="20"/>
      <c r="FS258" s="20"/>
      <c r="FT258" s="20"/>
      <c r="FU258" s="20"/>
      <c r="FV258" s="20"/>
      <c r="FW258" s="20"/>
      <c r="FX258" s="20"/>
      <c r="FY258" s="20"/>
      <c r="FZ258" s="20"/>
      <c r="GA258" s="20"/>
    </row>
    <row r="259" spans="1:183" ht="15" x14ac:dyDescent="0.2">
      <c r="A259" s="230" t="s">
        <v>301</v>
      </c>
      <c r="B259" s="230"/>
      <c r="C259" s="230"/>
      <c r="D259" s="102"/>
      <c r="E259" s="102"/>
      <c r="F259" s="102"/>
      <c r="G259" s="100"/>
      <c r="H259" s="100"/>
      <c r="I259" s="100"/>
      <c r="J259" s="373">
        <f>SUM(J260:J279)</f>
        <v>4630.5</v>
      </c>
      <c r="K259" s="373">
        <f t="shared" si="29"/>
        <v>9261</v>
      </c>
      <c r="L259" s="374"/>
      <c r="R259" s="4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20"/>
      <c r="DU259" s="20"/>
      <c r="DV259" s="20"/>
      <c r="DW259" s="20"/>
      <c r="DX259" s="20"/>
      <c r="DY259" s="20"/>
      <c r="DZ259" s="20"/>
      <c r="EA259" s="20"/>
      <c r="EB259" s="20"/>
      <c r="EC259" s="20"/>
      <c r="ED259" s="20"/>
      <c r="EE259" s="20"/>
      <c r="EF259" s="20"/>
      <c r="EG259" s="20"/>
      <c r="EH259" s="20"/>
      <c r="EI259" s="20"/>
      <c r="EJ259" s="20"/>
      <c r="EK259" s="20"/>
      <c r="EL259" s="20"/>
      <c r="EM259" s="20"/>
      <c r="EN259" s="20"/>
      <c r="EO259" s="20"/>
      <c r="EP259" s="20"/>
      <c r="EQ259" s="20"/>
      <c r="ER259" s="20"/>
      <c r="ES259" s="20"/>
      <c r="ET259" s="20"/>
      <c r="EU259" s="20"/>
      <c r="EV259" s="20"/>
      <c r="EW259" s="20"/>
      <c r="EX259" s="20"/>
      <c r="EY259" s="20"/>
      <c r="EZ259" s="20"/>
      <c r="FA259" s="20"/>
      <c r="FB259" s="20"/>
      <c r="FC259" s="20"/>
      <c r="FD259" s="20"/>
      <c r="FE259" s="20"/>
      <c r="FF259" s="20"/>
      <c r="FG259" s="20"/>
      <c r="FH259" s="20"/>
      <c r="FI259" s="20"/>
      <c r="FJ259" s="20"/>
      <c r="FK259" s="20"/>
      <c r="FL259" s="20"/>
      <c r="FM259" s="20"/>
      <c r="FN259" s="20"/>
      <c r="FO259" s="20"/>
      <c r="FP259" s="20"/>
      <c r="FQ259" s="20"/>
      <c r="FR259" s="20"/>
      <c r="FS259" s="20"/>
      <c r="FT259" s="20"/>
      <c r="FU259" s="20"/>
      <c r="FV259" s="20"/>
      <c r="FW259" s="20"/>
      <c r="FX259" s="20"/>
      <c r="FY259" s="20"/>
      <c r="FZ259" s="20"/>
      <c r="GA259" s="20"/>
    </row>
    <row r="260" spans="1:183" x14ac:dyDescent="0.2">
      <c r="A260" s="117" t="str">
        <f>+'[1]Tehuipango Subproductos'!A3</f>
        <v>Frijol delgado semilla</v>
      </c>
      <c r="B260" s="117"/>
      <c r="C260" s="117"/>
      <c r="D260" s="102"/>
      <c r="E260" s="102">
        <f>+'[1]Tehuipango Subproductos'!E3</f>
        <v>35</v>
      </c>
      <c r="F260" s="102"/>
      <c r="G260" s="100"/>
      <c r="H260" s="100">
        <f>+'[1]Tehuipango Subproductos'!D3</f>
        <v>0.5</v>
      </c>
      <c r="I260" s="100"/>
      <c r="J260" s="372">
        <f t="shared" ref="J260:J279" si="30">E260*H260</f>
        <v>17.5</v>
      </c>
      <c r="K260" s="372">
        <f t="shared" si="29"/>
        <v>35</v>
      </c>
      <c r="R260" s="4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  <c r="DS260" s="20"/>
      <c r="DT260" s="20"/>
      <c r="DU260" s="20"/>
      <c r="DV260" s="20"/>
      <c r="DW260" s="20"/>
      <c r="DX260" s="20"/>
      <c r="DY260" s="20"/>
      <c r="DZ260" s="20"/>
      <c r="EA260" s="20"/>
      <c r="EB260" s="20"/>
      <c r="EC260" s="20"/>
      <c r="ED260" s="20"/>
      <c r="EE260" s="20"/>
      <c r="EF260" s="20"/>
      <c r="EG260" s="20"/>
      <c r="EH260" s="20"/>
      <c r="EI260" s="20"/>
      <c r="EJ260" s="20"/>
      <c r="EK260" s="20"/>
      <c r="EL260" s="20"/>
      <c r="EM260" s="20"/>
      <c r="EN260" s="20"/>
      <c r="EO260" s="20"/>
      <c r="EP260" s="20"/>
      <c r="EQ260" s="20"/>
      <c r="ER260" s="20"/>
      <c r="ES260" s="20"/>
      <c r="ET260" s="20"/>
      <c r="EU260" s="20"/>
      <c r="EV260" s="20"/>
      <c r="EW260" s="20"/>
      <c r="EX260" s="20"/>
      <c r="EY260" s="20"/>
      <c r="EZ260" s="20"/>
      <c r="FA260" s="20"/>
      <c r="FB260" s="20"/>
      <c r="FC260" s="20"/>
      <c r="FD260" s="20"/>
      <c r="FE260" s="20"/>
      <c r="FF260" s="20"/>
      <c r="FG260" s="20"/>
      <c r="FH260" s="20"/>
      <c r="FI260" s="20"/>
      <c r="FJ260" s="20"/>
      <c r="FK260" s="20"/>
      <c r="FL260" s="20"/>
      <c r="FM260" s="20"/>
      <c r="FN260" s="20"/>
      <c r="FO260" s="20"/>
      <c r="FP260" s="20"/>
      <c r="FQ260" s="20"/>
      <c r="FR260" s="20"/>
      <c r="FS260" s="20"/>
      <c r="FT260" s="20"/>
      <c r="FU260" s="20"/>
      <c r="FV260" s="20"/>
      <c r="FW260" s="20"/>
      <c r="FX260" s="20"/>
      <c r="FY260" s="20"/>
      <c r="FZ260" s="20"/>
      <c r="GA260" s="20"/>
    </row>
    <row r="261" spans="1:183" x14ac:dyDescent="0.2">
      <c r="A261" s="117" t="str">
        <f>+'[1]Tehuipango Subproductos'!A4</f>
        <v>Frijol delgado seco</v>
      </c>
      <c r="B261" s="117"/>
      <c r="C261" s="117"/>
      <c r="D261" s="102"/>
      <c r="E261" s="102">
        <f>+'[1]Tehuipango Subproductos'!K4</f>
        <v>15</v>
      </c>
      <c r="F261" s="102"/>
      <c r="G261" s="100"/>
      <c r="H261" s="113">
        <f>+'[1]Tehuipango Subproductos'!F4</f>
        <v>4</v>
      </c>
      <c r="I261" s="100"/>
      <c r="J261" s="372">
        <f t="shared" si="30"/>
        <v>60</v>
      </c>
      <c r="K261" s="372">
        <f t="shared" si="29"/>
        <v>120</v>
      </c>
      <c r="R261" s="4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20"/>
      <c r="DU261" s="20"/>
      <c r="DV261" s="20"/>
      <c r="DW261" s="20"/>
      <c r="DX261" s="20"/>
      <c r="DY261" s="20"/>
      <c r="DZ261" s="20"/>
      <c r="EA261" s="20"/>
      <c r="EB261" s="20"/>
      <c r="EC261" s="20"/>
      <c r="ED261" s="20"/>
      <c r="EE261" s="20"/>
      <c r="EF261" s="20"/>
      <c r="EG261" s="20"/>
      <c r="EH261" s="20"/>
      <c r="EI261" s="20"/>
      <c r="EJ261" s="20"/>
      <c r="EK261" s="20"/>
      <c r="EL261" s="20"/>
      <c r="EM261" s="20"/>
      <c r="EN261" s="20"/>
      <c r="EO261" s="20"/>
      <c r="EP261" s="20"/>
      <c r="EQ261" s="20"/>
      <c r="ER261" s="20"/>
      <c r="ES261" s="20"/>
      <c r="ET261" s="20"/>
      <c r="EU261" s="20"/>
      <c r="EV261" s="20"/>
      <c r="EW261" s="20"/>
      <c r="EX261" s="20"/>
      <c r="EY261" s="20"/>
      <c r="EZ261" s="20"/>
      <c r="FA261" s="20"/>
      <c r="FB261" s="20"/>
      <c r="FC261" s="20"/>
      <c r="FD261" s="20"/>
      <c r="FE261" s="20"/>
      <c r="FF261" s="20"/>
      <c r="FG261" s="20"/>
      <c r="FH261" s="20"/>
      <c r="FI261" s="20"/>
      <c r="FJ261" s="20"/>
      <c r="FK261" s="20"/>
      <c r="FL261" s="20"/>
      <c r="FM261" s="20"/>
      <c r="FN261" s="20"/>
      <c r="FO261" s="20"/>
      <c r="FP261" s="20"/>
      <c r="FQ261" s="20"/>
      <c r="FR261" s="20"/>
      <c r="FS261" s="20"/>
      <c r="FT261" s="20"/>
      <c r="FU261" s="20"/>
      <c r="FV261" s="20"/>
      <c r="FW261" s="20"/>
      <c r="FX261" s="20"/>
      <c r="FY261" s="20"/>
      <c r="FZ261" s="20"/>
      <c r="GA261" s="20"/>
    </row>
    <row r="262" spans="1:183" x14ac:dyDescent="0.2">
      <c r="A262" s="117" t="str">
        <f>+'[1]Tehuipango Subproductos'!A5</f>
        <v>Frijol delgado verde (maduro)</v>
      </c>
      <c r="B262" s="117"/>
      <c r="C262" s="117"/>
      <c r="D262" s="102"/>
      <c r="E262" s="102">
        <f>+'[1]Tehuipango Subproductos'!K5</f>
        <v>15</v>
      </c>
      <c r="F262" s="102"/>
      <c r="G262" s="100"/>
      <c r="H262" s="100">
        <f>+'[1]Tehuipango Subproductos'!G5*4*2</f>
        <v>32</v>
      </c>
      <c r="I262" s="100"/>
      <c r="J262" s="372">
        <f t="shared" si="30"/>
        <v>480</v>
      </c>
      <c r="K262" s="372">
        <f t="shared" si="29"/>
        <v>960</v>
      </c>
      <c r="R262" s="4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  <c r="DS262" s="20"/>
      <c r="DT262" s="20"/>
      <c r="DU262" s="20"/>
      <c r="DV262" s="20"/>
      <c r="DW262" s="20"/>
      <c r="DX262" s="20"/>
      <c r="DY262" s="20"/>
      <c r="DZ262" s="20"/>
      <c r="EA262" s="20"/>
      <c r="EB262" s="20"/>
      <c r="EC262" s="20"/>
      <c r="ED262" s="20"/>
      <c r="EE262" s="20"/>
      <c r="EF262" s="20"/>
      <c r="EG262" s="20"/>
      <c r="EH262" s="20"/>
      <c r="EI262" s="20"/>
      <c r="EJ262" s="20"/>
      <c r="EK262" s="20"/>
      <c r="EL262" s="20"/>
      <c r="EM262" s="20"/>
      <c r="EN262" s="20"/>
      <c r="EO262" s="20"/>
      <c r="EP262" s="20"/>
      <c r="EQ262" s="20"/>
      <c r="ER262" s="20"/>
      <c r="ES262" s="20"/>
      <c r="ET262" s="20"/>
      <c r="EU262" s="20"/>
      <c r="EV262" s="20"/>
      <c r="EW262" s="20"/>
      <c r="EX262" s="20"/>
      <c r="EY262" s="20"/>
      <c r="EZ262" s="20"/>
      <c r="FA262" s="20"/>
      <c r="FB262" s="20"/>
      <c r="FC262" s="20"/>
      <c r="FD262" s="20"/>
      <c r="FE262" s="20"/>
      <c r="FF262" s="20"/>
      <c r="FG262" s="20"/>
      <c r="FH262" s="20"/>
      <c r="FI262" s="20"/>
      <c r="FJ262" s="20"/>
      <c r="FK262" s="20"/>
      <c r="FL262" s="20"/>
      <c r="FM262" s="20"/>
      <c r="FN262" s="20"/>
      <c r="FO262" s="20"/>
      <c r="FP262" s="20"/>
      <c r="FQ262" s="20"/>
      <c r="FR262" s="20"/>
      <c r="FS262" s="20"/>
      <c r="FT262" s="20"/>
      <c r="FU262" s="20"/>
      <c r="FV262" s="20"/>
      <c r="FW262" s="20"/>
      <c r="FX262" s="20"/>
      <c r="FY262" s="20"/>
      <c r="FZ262" s="20"/>
      <c r="GA262" s="20"/>
    </row>
    <row r="263" spans="1:183" x14ac:dyDescent="0.2">
      <c r="A263" s="117" t="str">
        <f>+'[1]Tehuipango Subproductos'!A6</f>
        <v>Frijol gordo elanma semilla</v>
      </c>
      <c r="B263" s="117"/>
      <c r="C263" s="117"/>
      <c r="D263" s="102"/>
      <c r="E263" s="102">
        <f>+'[1]Tehuipango Subproductos'!E6</f>
        <v>15</v>
      </c>
      <c r="F263" s="102"/>
      <c r="G263" s="100"/>
      <c r="H263" s="100">
        <f>+'[1]Tehuipango Subproductos'!D6</f>
        <v>2</v>
      </c>
      <c r="I263" s="100"/>
      <c r="J263" s="372">
        <f t="shared" si="30"/>
        <v>30</v>
      </c>
      <c r="K263" s="372">
        <f t="shared" si="29"/>
        <v>60</v>
      </c>
      <c r="R263" s="4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  <c r="DH263" s="20"/>
      <c r="DI263" s="20"/>
      <c r="DJ263" s="20"/>
      <c r="DK263" s="20"/>
      <c r="DL263" s="20"/>
      <c r="DM263" s="20"/>
      <c r="DN263" s="20"/>
      <c r="DO263" s="20"/>
      <c r="DP263" s="20"/>
      <c r="DQ263" s="20"/>
      <c r="DR263" s="20"/>
      <c r="DS263" s="20"/>
      <c r="DT263" s="20"/>
      <c r="DU263" s="20"/>
      <c r="DV263" s="20"/>
      <c r="DW263" s="20"/>
      <c r="DX263" s="20"/>
      <c r="DY263" s="20"/>
      <c r="DZ263" s="20"/>
      <c r="EA263" s="20"/>
      <c r="EB263" s="20"/>
      <c r="EC263" s="20"/>
      <c r="ED263" s="20"/>
      <c r="EE263" s="20"/>
      <c r="EF263" s="20"/>
      <c r="EG263" s="20"/>
      <c r="EH263" s="20"/>
      <c r="EI263" s="20"/>
      <c r="EJ263" s="20"/>
      <c r="EK263" s="20"/>
      <c r="EL263" s="20"/>
      <c r="EM263" s="20"/>
      <c r="EN263" s="20"/>
      <c r="EO263" s="20"/>
      <c r="EP263" s="20"/>
      <c r="EQ263" s="20"/>
      <c r="ER263" s="20"/>
      <c r="ES263" s="20"/>
      <c r="ET263" s="20"/>
      <c r="EU263" s="20"/>
      <c r="EV263" s="20"/>
      <c r="EW263" s="20"/>
      <c r="EX263" s="20"/>
      <c r="EY263" s="20"/>
      <c r="EZ263" s="20"/>
      <c r="FA263" s="20"/>
      <c r="FB263" s="20"/>
      <c r="FC263" s="20"/>
      <c r="FD263" s="20"/>
      <c r="FE263" s="20"/>
      <c r="FF263" s="20"/>
      <c r="FG263" s="20"/>
      <c r="FH263" s="20"/>
      <c r="FI263" s="20"/>
      <c r="FJ263" s="20"/>
      <c r="FK263" s="20"/>
      <c r="FL263" s="20"/>
      <c r="FM263" s="20"/>
      <c r="FN263" s="20"/>
      <c r="FO263" s="20"/>
      <c r="FP263" s="20"/>
      <c r="FQ263" s="20"/>
      <c r="FR263" s="20"/>
      <c r="FS263" s="20"/>
      <c r="FT263" s="20"/>
      <c r="FU263" s="20"/>
      <c r="FV263" s="20"/>
      <c r="FW263" s="20"/>
      <c r="FX263" s="20"/>
      <c r="FY263" s="20"/>
      <c r="FZ263" s="20"/>
      <c r="GA263" s="20"/>
    </row>
    <row r="264" spans="1:183" x14ac:dyDescent="0.2">
      <c r="A264" s="117" t="str">
        <f>+'[1]Tehuipango Subproductos'!A7</f>
        <v>Frijol gordo elanma verde</v>
      </c>
      <c r="B264" s="117"/>
      <c r="C264" s="117"/>
      <c r="D264" s="102"/>
      <c r="E264" s="102">
        <f>+'[1]Tehuipango Subproductos'!K7</f>
        <v>15</v>
      </c>
      <c r="F264" s="102"/>
      <c r="G264" s="100"/>
      <c r="H264" s="100">
        <f>+'[1]Tehuipango Subproductos'!G7*4*2</f>
        <v>32</v>
      </c>
      <c r="I264" s="100"/>
      <c r="J264" s="372">
        <f t="shared" si="30"/>
        <v>480</v>
      </c>
      <c r="K264" s="372">
        <f t="shared" si="29"/>
        <v>960</v>
      </c>
      <c r="R264" s="4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  <c r="DK264" s="20"/>
      <c r="DL264" s="20"/>
      <c r="DM264" s="20"/>
      <c r="DN264" s="20"/>
      <c r="DO264" s="20"/>
      <c r="DP264" s="20"/>
      <c r="DQ264" s="20"/>
      <c r="DR264" s="20"/>
      <c r="DS264" s="20"/>
      <c r="DT264" s="20"/>
      <c r="DU264" s="20"/>
      <c r="DV264" s="20"/>
      <c r="DW264" s="20"/>
      <c r="DX264" s="20"/>
      <c r="DY264" s="20"/>
      <c r="DZ264" s="20"/>
      <c r="EA264" s="20"/>
      <c r="EB264" s="20"/>
      <c r="EC264" s="20"/>
      <c r="ED264" s="20"/>
      <c r="EE264" s="20"/>
      <c r="EF264" s="20"/>
      <c r="EG264" s="20"/>
      <c r="EH264" s="20"/>
      <c r="EI264" s="20"/>
      <c r="EJ264" s="20"/>
      <c r="EK264" s="20"/>
      <c r="EL264" s="20"/>
      <c r="EM264" s="20"/>
      <c r="EN264" s="20"/>
      <c r="EO264" s="20"/>
      <c r="EP264" s="20"/>
      <c r="EQ264" s="20"/>
      <c r="ER264" s="20"/>
      <c r="ES264" s="20"/>
      <c r="ET264" s="20"/>
      <c r="EU264" s="20"/>
      <c r="EV264" s="20"/>
      <c r="EW264" s="20"/>
      <c r="EX264" s="20"/>
      <c r="EY264" s="20"/>
      <c r="EZ264" s="20"/>
      <c r="FA264" s="20"/>
      <c r="FB264" s="20"/>
      <c r="FC264" s="20"/>
      <c r="FD264" s="20"/>
      <c r="FE264" s="20"/>
      <c r="FF264" s="20"/>
      <c r="FG264" s="20"/>
      <c r="FH264" s="20"/>
      <c r="FI264" s="20"/>
      <c r="FJ264" s="20"/>
      <c r="FK264" s="20"/>
      <c r="FL264" s="20"/>
      <c r="FM264" s="20"/>
      <c r="FN264" s="20"/>
      <c r="FO264" s="20"/>
      <c r="FP264" s="20"/>
      <c r="FQ264" s="20"/>
      <c r="FR264" s="20"/>
      <c r="FS264" s="20"/>
      <c r="FT264" s="20"/>
      <c r="FU264" s="20"/>
      <c r="FV264" s="20"/>
      <c r="FW264" s="20"/>
      <c r="FX264" s="20"/>
      <c r="FY264" s="20"/>
      <c r="FZ264" s="20"/>
      <c r="GA264" s="20"/>
    </row>
    <row r="265" spans="1:183" x14ac:dyDescent="0.2">
      <c r="A265" s="117" t="str">
        <f>+'[1]Tehuipango Subproductos'!A8</f>
        <v>Frijol gordo elanma seco</v>
      </c>
      <c r="B265" s="117"/>
      <c r="C265" s="117"/>
      <c r="D265" s="102"/>
      <c r="E265" s="102">
        <f>+'[1]Tehuipango Subproductos'!K8</f>
        <v>25</v>
      </c>
      <c r="F265" s="102"/>
      <c r="G265" s="100"/>
      <c r="H265" s="113">
        <v>4</v>
      </c>
      <c r="I265" s="100"/>
      <c r="J265" s="372">
        <f t="shared" si="30"/>
        <v>100</v>
      </c>
      <c r="K265" s="372">
        <f t="shared" si="29"/>
        <v>200</v>
      </c>
      <c r="R265" s="4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  <c r="DH265" s="20"/>
      <c r="DI265" s="20"/>
      <c r="DJ265" s="20"/>
      <c r="DK265" s="20"/>
      <c r="DL265" s="20"/>
      <c r="DM265" s="20"/>
      <c r="DN265" s="20"/>
      <c r="DO265" s="20"/>
      <c r="DP265" s="20"/>
      <c r="DQ265" s="20"/>
      <c r="DR265" s="20"/>
      <c r="DS265" s="20"/>
      <c r="DT265" s="20"/>
      <c r="DU265" s="20"/>
      <c r="DV265" s="20"/>
      <c r="DW265" s="20"/>
      <c r="DX265" s="20"/>
      <c r="DY265" s="20"/>
      <c r="DZ265" s="20"/>
      <c r="EA265" s="20"/>
      <c r="EB265" s="20"/>
      <c r="EC265" s="20"/>
      <c r="ED265" s="20"/>
      <c r="EE265" s="20"/>
      <c r="EF265" s="20"/>
      <c r="EG265" s="20"/>
      <c r="EH265" s="20"/>
      <c r="EI265" s="20"/>
      <c r="EJ265" s="20"/>
      <c r="EK265" s="20"/>
      <c r="EL265" s="20"/>
      <c r="EM265" s="20"/>
      <c r="EN265" s="20"/>
      <c r="EO265" s="20"/>
      <c r="EP265" s="20"/>
      <c r="EQ265" s="20"/>
      <c r="ER265" s="20"/>
      <c r="ES265" s="20"/>
      <c r="ET265" s="20"/>
      <c r="EU265" s="20"/>
      <c r="EV265" s="20"/>
      <c r="EW265" s="20"/>
      <c r="EX265" s="20"/>
      <c r="EY265" s="20"/>
      <c r="EZ265" s="20"/>
      <c r="FA265" s="20"/>
      <c r="FB265" s="20"/>
      <c r="FC265" s="20"/>
      <c r="FD265" s="20"/>
      <c r="FE265" s="20"/>
      <c r="FF265" s="20"/>
      <c r="FG265" s="20"/>
      <c r="FH265" s="20"/>
      <c r="FI265" s="20"/>
      <c r="FJ265" s="20"/>
      <c r="FK265" s="20"/>
      <c r="FL265" s="20"/>
      <c r="FM265" s="20"/>
      <c r="FN265" s="20"/>
      <c r="FO265" s="20"/>
      <c r="FP265" s="20"/>
      <c r="FQ265" s="20"/>
      <c r="FR265" s="20"/>
      <c r="FS265" s="20"/>
      <c r="FT265" s="20"/>
      <c r="FU265" s="20"/>
      <c r="FV265" s="20"/>
      <c r="FW265" s="20"/>
      <c r="FX265" s="20"/>
      <c r="FY265" s="20"/>
      <c r="FZ265" s="20"/>
      <c r="GA265" s="20"/>
    </row>
    <row r="266" spans="1:183" x14ac:dyDescent="0.2">
      <c r="A266" s="117" t="str">
        <f>+'[1]Tehuipango Subproductos'!A9</f>
        <v>Frijol gordo evapa semilla</v>
      </c>
      <c r="B266" s="196"/>
      <c r="C266" s="196"/>
      <c r="D266" s="102"/>
      <c r="E266" s="102">
        <f>+'[1]Tehuipango Subproductos'!E9</f>
        <v>30</v>
      </c>
      <c r="F266" s="102"/>
      <c r="G266" s="100"/>
      <c r="H266" s="100">
        <f>+'[1]Tehuipango Subproductos'!D9</f>
        <v>1.7</v>
      </c>
      <c r="I266" s="100"/>
      <c r="J266" s="372">
        <f t="shared" si="30"/>
        <v>51</v>
      </c>
      <c r="K266" s="372">
        <f t="shared" si="29"/>
        <v>102</v>
      </c>
      <c r="R266" s="4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20"/>
      <c r="DU266" s="20"/>
      <c r="DV266" s="20"/>
      <c r="DW266" s="20"/>
      <c r="DX266" s="20"/>
      <c r="DY266" s="20"/>
      <c r="DZ266" s="20"/>
      <c r="EA266" s="20"/>
      <c r="EB266" s="20"/>
      <c r="EC266" s="20"/>
      <c r="ED266" s="20"/>
      <c r="EE266" s="20"/>
      <c r="EF266" s="20"/>
      <c r="EG266" s="20"/>
      <c r="EH266" s="20"/>
      <c r="EI266" s="20"/>
      <c r="EJ266" s="20"/>
      <c r="EK266" s="20"/>
      <c r="EL266" s="20"/>
      <c r="EM266" s="20"/>
      <c r="EN266" s="20"/>
      <c r="EO266" s="20"/>
      <c r="EP266" s="20"/>
      <c r="EQ266" s="20"/>
      <c r="ER266" s="20"/>
      <c r="ES266" s="20"/>
      <c r="ET266" s="20"/>
      <c r="EU266" s="20"/>
      <c r="EV266" s="20"/>
      <c r="EW266" s="20"/>
      <c r="EX266" s="20"/>
      <c r="EY266" s="20"/>
      <c r="EZ266" s="20"/>
      <c r="FA266" s="20"/>
      <c r="FB266" s="20"/>
      <c r="FC266" s="20"/>
      <c r="FD266" s="20"/>
      <c r="FE266" s="20"/>
      <c r="FF266" s="20"/>
      <c r="FG266" s="20"/>
      <c r="FH266" s="20"/>
      <c r="FI266" s="20"/>
      <c r="FJ266" s="20"/>
      <c r="FK266" s="20"/>
      <c r="FL266" s="20"/>
      <c r="FM266" s="20"/>
      <c r="FN266" s="20"/>
      <c r="FO266" s="20"/>
      <c r="FP266" s="20"/>
      <c r="FQ266" s="20"/>
      <c r="FR266" s="20"/>
      <c r="FS266" s="20"/>
      <c r="FT266" s="20"/>
      <c r="FU266" s="20"/>
      <c r="FV266" s="20"/>
      <c r="FW266" s="20"/>
      <c r="FX266" s="20"/>
      <c r="FY266" s="20"/>
      <c r="FZ266" s="20"/>
      <c r="GA266" s="20"/>
    </row>
    <row r="267" spans="1:183" x14ac:dyDescent="0.2">
      <c r="A267" s="117" t="str">
        <f>+'[1]Tehuipango Subproductos'!A10</f>
        <v>Frijol gordo evapa verde</v>
      </c>
      <c r="B267" s="196"/>
      <c r="C267" s="196"/>
      <c r="D267" s="102"/>
      <c r="E267" s="102">
        <f>+'[1]Tehuipango Subproductos'!K10</f>
        <v>15</v>
      </c>
      <c r="F267" s="102"/>
      <c r="G267" s="100"/>
      <c r="H267" s="100">
        <f>+'[1]Tehuipango Subproductos'!G10*4*2</f>
        <v>32</v>
      </c>
      <c r="I267" s="100"/>
      <c r="J267" s="372">
        <f t="shared" si="30"/>
        <v>480</v>
      </c>
      <c r="K267" s="372">
        <f t="shared" si="29"/>
        <v>960</v>
      </c>
      <c r="R267" s="4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  <c r="DP267" s="20"/>
      <c r="DQ267" s="20"/>
      <c r="DR267" s="20"/>
      <c r="DS267" s="20"/>
      <c r="DT267" s="20"/>
      <c r="DU267" s="20"/>
      <c r="DV267" s="20"/>
      <c r="DW267" s="20"/>
      <c r="DX267" s="20"/>
      <c r="DY267" s="20"/>
      <c r="DZ267" s="20"/>
      <c r="EA267" s="20"/>
      <c r="EB267" s="20"/>
      <c r="EC267" s="20"/>
      <c r="ED267" s="20"/>
      <c r="EE267" s="20"/>
      <c r="EF267" s="20"/>
      <c r="EG267" s="20"/>
      <c r="EH267" s="20"/>
      <c r="EI267" s="20"/>
      <c r="EJ267" s="20"/>
      <c r="EK267" s="20"/>
      <c r="EL267" s="20"/>
      <c r="EM267" s="20"/>
      <c r="EN267" s="20"/>
      <c r="EO267" s="20"/>
      <c r="EP267" s="20"/>
      <c r="EQ267" s="20"/>
      <c r="ER267" s="20"/>
      <c r="ES267" s="20"/>
      <c r="ET267" s="20"/>
      <c r="EU267" s="20"/>
      <c r="EV267" s="20"/>
      <c r="EW267" s="20"/>
      <c r="EX267" s="20"/>
      <c r="EY267" s="20"/>
      <c r="EZ267" s="20"/>
      <c r="FA267" s="20"/>
      <c r="FB267" s="20"/>
      <c r="FC267" s="20"/>
      <c r="FD267" s="20"/>
      <c r="FE267" s="20"/>
      <c r="FF267" s="20"/>
      <c r="FG267" s="20"/>
      <c r="FH267" s="20"/>
      <c r="FI267" s="20"/>
      <c r="FJ267" s="20"/>
      <c r="FK267" s="20"/>
      <c r="FL267" s="20"/>
      <c r="FM267" s="20"/>
      <c r="FN267" s="20"/>
      <c r="FO267" s="20"/>
      <c r="FP267" s="20"/>
      <c r="FQ267" s="20"/>
      <c r="FR267" s="20"/>
      <c r="FS267" s="20"/>
      <c r="FT267" s="20"/>
      <c r="FU267" s="20"/>
      <c r="FV267" s="20"/>
      <c r="FW267" s="20"/>
      <c r="FX267" s="20"/>
      <c r="FY267" s="20"/>
      <c r="FZ267" s="20"/>
      <c r="GA267" s="20"/>
    </row>
    <row r="268" spans="1:183" x14ac:dyDescent="0.2">
      <c r="A268" s="117" t="str">
        <f>+'[1]Tehuipango Subproductos'!A11</f>
        <v>Frijol gordo evapa seco</v>
      </c>
      <c r="B268" s="196"/>
      <c r="C268" s="196"/>
      <c r="D268" s="102"/>
      <c r="E268" s="102">
        <f>+'[1]Tehuipango Subproductos'!K11</f>
        <v>30</v>
      </c>
      <c r="F268" s="102"/>
      <c r="G268" s="100"/>
      <c r="H268" s="113">
        <v>4</v>
      </c>
      <c r="I268" s="100"/>
      <c r="J268" s="372">
        <f t="shared" si="30"/>
        <v>120</v>
      </c>
      <c r="K268" s="372">
        <f t="shared" si="29"/>
        <v>240</v>
      </c>
      <c r="R268" s="4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  <c r="DH268" s="20"/>
      <c r="DI268" s="20"/>
      <c r="DJ268" s="20"/>
      <c r="DK268" s="20"/>
      <c r="DL268" s="20"/>
      <c r="DM268" s="20"/>
      <c r="DN268" s="20"/>
      <c r="DO268" s="20"/>
      <c r="DP268" s="20"/>
      <c r="DQ268" s="20"/>
      <c r="DR268" s="20"/>
      <c r="DS268" s="20"/>
      <c r="DT268" s="20"/>
      <c r="DU268" s="20"/>
      <c r="DV268" s="20"/>
      <c r="DW268" s="20"/>
      <c r="DX268" s="20"/>
      <c r="DY268" s="20"/>
      <c r="DZ268" s="20"/>
      <c r="EA268" s="20"/>
      <c r="EB268" s="20"/>
      <c r="EC268" s="20"/>
      <c r="ED268" s="20"/>
      <c r="EE268" s="20"/>
      <c r="EF268" s="20"/>
      <c r="EG268" s="20"/>
      <c r="EH268" s="20"/>
      <c r="EI268" s="20"/>
      <c r="EJ268" s="20"/>
      <c r="EK268" s="20"/>
      <c r="EL268" s="20"/>
      <c r="EM268" s="20"/>
      <c r="EN268" s="20"/>
      <c r="EO268" s="20"/>
      <c r="EP268" s="20"/>
      <c r="EQ268" s="20"/>
      <c r="ER268" s="20"/>
      <c r="ES268" s="20"/>
      <c r="ET268" s="20"/>
      <c r="EU268" s="20"/>
      <c r="EV268" s="20"/>
      <c r="EW268" s="20"/>
      <c r="EX268" s="20"/>
      <c r="EY268" s="20"/>
      <c r="EZ268" s="20"/>
      <c r="FA268" s="20"/>
      <c r="FB268" s="20"/>
      <c r="FC268" s="20"/>
      <c r="FD268" s="20"/>
      <c r="FE268" s="20"/>
      <c r="FF268" s="20"/>
      <c r="FG268" s="20"/>
      <c r="FH268" s="20"/>
      <c r="FI268" s="20"/>
      <c r="FJ268" s="20"/>
      <c r="FK268" s="20"/>
      <c r="FL268" s="20"/>
      <c r="FM268" s="20"/>
      <c r="FN268" s="20"/>
      <c r="FO268" s="20"/>
      <c r="FP268" s="20"/>
      <c r="FQ268" s="20"/>
      <c r="FR268" s="20"/>
      <c r="FS268" s="20"/>
      <c r="FT268" s="20"/>
      <c r="FU268" s="20"/>
      <c r="FV268" s="20"/>
      <c r="FW268" s="20"/>
      <c r="FX268" s="20"/>
      <c r="FY268" s="20"/>
      <c r="FZ268" s="20"/>
      <c r="GA268" s="20"/>
    </row>
    <row r="269" spans="1:183" x14ac:dyDescent="0.2">
      <c r="A269" s="117" t="str">
        <f>+'[1]Tehuipango Subproductos'!A12</f>
        <v>Chilacayota semilla</v>
      </c>
      <c r="B269" s="196"/>
      <c r="C269" s="196"/>
      <c r="D269" s="102"/>
      <c r="E269" s="102">
        <f>+'[1]Tehuipango Subproductos'!E12</f>
        <v>60</v>
      </c>
      <c r="F269" s="102"/>
      <c r="G269" s="100"/>
      <c r="H269" s="100">
        <f>+'[1]Tehuipango Subproductos'!D12</f>
        <v>0.7</v>
      </c>
      <c r="I269" s="100"/>
      <c r="J269" s="372">
        <f t="shared" si="30"/>
        <v>42</v>
      </c>
      <c r="K269" s="372">
        <f t="shared" si="29"/>
        <v>84</v>
      </c>
      <c r="R269" s="4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/>
      <c r="DN269" s="20"/>
      <c r="DO269" s="20"/>
      <c r="DP269" s="20"/>
      <c r="DQ269" s="20"/>
      <c r="DR269" s="20"/>
      <c r="DS269" s="20"/>
      <c r="DT269" s="20"/>
      <c r="DU269" s="20"/>
      <c r="DV269" s="20"/>
      <c r="DW269" s="20"/>
      <c r="DX269" s="20"/>
      <c r="DY269" s="20"/>
      <c r="DZ269" s="20"/>
      <c r="EA269" s="20"/>
      <c r="EB269" s="20"/>
      <c r="EC269" s="20"/>
      <c r="ED269" s="20"/>
      <c r="EE269" s="20"/>
      <c r="EF269" s="20"/>
      <c r="EG269" s="20"/>
      <c r="EH269" s="20"/>
      <c r="EI269" s="20"/>
      <c r="EJ269" s="20"/>
      <c r="EK269" s="20"/>
      <c r="EL269" s="20"/>
      <c r="EM269" s="20"/>
      <c r="EN269" s="20"/>
      <c r="EO269" s="20"/>
      <c r="EP269" s="20"/>
      <c r="EQ269" s="20"/>
      <c r="ER269" s="20"/>
      <c r="ES269" s="20"/>
      <c r="ET269" s="20"/>
      <c r="EU269" s="20"/>
      <c r="EV269" s="20"/>
      <c r="EW269" s="20"/>
      <c r="EX269" s="20"/>
      <c r="EY269" s="20"/>
      <c r="EZ269" s="20"/>
      <c r="FA269" s="20"/>
      <c r="FB269" s="20"/>
      <c r="FC269" s="20"/>
      <c r="FD269" s="20"/>
      <c r="FE269" s="20"/>
      <c r="FF269" s="20"/>
      <c r="FG269" s="20"/>
      <c r="FH269" s="20"/>
      <c r="FI269" s="20"/>
      <c r="FJ269" s="20"/>
      <c r="FK269" s="20"/>
      <c r="FL269" s="20"/>
      <c r="FM269" s="20"/>
      <c r="FN269" s="20"/>
      <c r="FO269" s="20"/>
      <c r="FP269" s="20"/>
      <c r="FQ269" s="20"/>
      <c r="FR269" s="20"/>
      <c r="FS269" s="20"/>
      <c r="FT269" s="20"/>
      <c r="FU269" s="20"/>
      <c r="FV269" s="20"/>
      <c r="FW269" s="20"/>
      <c r="FX269" s="20"/>
      <c r="FY269" s="20"/>
      <c r="FZ269" s="20"/>
      <c r="GA269" s="20"/>
    </row>
    <row r="270" spans="1:183" x14ac:dyDescent="0.2">
      <c r="A270" s="117" t="str">
        <f>+'[1]Tehuipango Subproductos'!A13</f>
        <v>Chilacayota semilla pepitas para venta</v>
      </c>
      <c r="B270" s="196"/>
      <c r="C270" s="196"/>
      <c r="D270" s="102">
        <v>80</v>
      </c>
      <c r="E270" s="102">
        <v>60</v>
      </c>
      <c r="F270" s="102">
        <v>46</v>
      </c>
      <c r="G270" s="100"/>
      <c r="H270" s="113">
        <f>+'[1]Tehuipango Subproductos'!F13</f>
        <v>12</v>
      </c>
      <c r="I270" s="100"/>
      <c r="J270" s="372">
        <f t="shared" si="30"/>
        <v>720</v>
      </c>
      <c r="K270" s="372">
        <f t="shared" si="29"/>
        <v>1440</v>
      </c>
      <c r="R270" s="4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  <c r="DP270" s="20"/>
      <c r="DQ270" s="20"/>
      <c r="DR270" s="20"/>
      <c r="DS270" s="20"/>
      <c r="DT270" s="20"/>
      <c r="DU270" s="20"/>
      <c r="DV270" s="20"/>
      <c r="DW270" s="20"/>
      <c r="DX270" s="20"/>
      <c r="DY270" s="20"/>
      <c r="DZ270" s="20"/>
      <c r="EA270" s="20"/>
      <c r="EB270" s="20"/>
      <c r="EC270" s="20"/>
      <c r="ED270" s="20"/>
      <c r="EE270" s="20"/>
      <c r="EF270" s="20"/>
      <c r="EG270" s="20"/>
      <c r="EH270" s="20"/>
      <c r="EI270" s="20"/>
      <c r="EJ270" s="20"/>
      <c r="EK270" s="20"/>
      <c r="EL270" s="20"/>
      <c r="EM270" s="20"/>
      <c r="EN270" s="20"/>
      <c r="EO270" s="20"/>
      <c r="EP270" s="20"/>
      <c r="EQ270" s="20"/>
      <c r="ER270" s="20"/>
      <c r="ES270" s="20"/>
      <c r="ET270" s="20"/>
      <c r="EU270" s="20"/>
      <c r="EV270" s="20"/>
      <c r="EW270" s="20"/>
      <c r="EX270" s="20"/>
      <c r="EY270" s="20"/>
      <c r="EZ270" s="20"/>
      <c r="FA270" s="20"/>
      <c r="FB270" s="20"/>
      <c r="FC270" s="20"/>
      <c r="FD270" s="20"/>
      <c r="FE270" s="20"/>
      <c r="FF270" s="20"/>
      <c r="FG270" s="20"/>
      <c r="FH270" s="20"/>
      <c r="FI270" s="20"/>
      <c r="FJ270" s="20"/>
      <c r="FK270" s="20"/>
      <c r="FL270" s="20"/>
      <c r="FM270" s="20"/>
      <c r="FN270" s="20"/>
      <c r="FO270" s="20"/>
      <c r="FP270" s="20"/>
      <c r="FQ270" s="20"/>
      <c r="FR270" s="20"/>
      <c r="FS270" s="20"/>
      <c r="FT270" s="20"/>
      <c r="FU270" s="20"/>
      <c r="FV270" s="20"/>
      <c r="FW270" s="20"/>
      <c r="FX270" s="20"/>
      <c r="FY270" s="20"/>
      <c r="FZ270" s="20"/>
      <c r="GA270" s="20"/>
    </row>
    <row r="271" spans="1:183" x14ac:dyDescent="0.2">
      <c r="A271" s="117" t="str">
        <f>+'[1]Tehuipango Subproductos'!A14</f>
        <v>Chilacayota verde</v>
      </c>
      <c r="B271" s="196"/>
      <c r="C271" s="196"/>
      <c r="D271" s="102"/>
      <c r="E271" s="102">
        <f>+'[1]Tehuipango Subproductos'!K14</f>
        <v>30</v>
      </c>
      <c r="F271" s="102"/>
      <c r="G271" s="100"/>
      <c r="H271" s="100">
        <f>+'[1]Tehuipango Subproductos'!G14</f>
        <v>20</v>
      </c>
      <c r="I271" s="100"/>
      <c r="J271" s="372">
        <f t="shared" si="30"/>
        <v>600</v>
      </c>
      <c r="K271" s="372">
        <f t="shared" si="29"/>
        <v>1200</v>
      </c>
      <c r="R271" s="4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20"/>
      <c r="DU271" s="20"/>
      <c r="DV271" s="20"/>
      <c r="DW271" s="20"/>
      <c r="DX271" s="20"/>
      <c r="DY271" s="20"/>
      <c r="DZ271" s="20"/>
      <c r="EA271" s="20"/>
      <c r="EB271" s="20"/>
      <c r="EC271" s="20"/>
      <c r="ED271" s="20"/>
      <c r="EE271" s="20"/>
      <c r="EF271" s="20"/>
      <c r="EG271" s="20"/>
      <c r="EH271" s="20"/>
      <c r="EI271" s="20"/>
      <c r="EJ271" s="20"/>
      <c r="EK271" s="20"/>
      <c r="EL271" s="20"/>
      <c r="EM271" s="20"/>
      <c r="EN271" s="20"/>
      <c r="EO271" s="20"/>
      <c r="EP271" s="20"/>
      <c r="EQ271" s="20"/>
      <c r="ER271" s="20"/>
      <c r="ES271" s="20"/>
      <c r="ET271" s="20"/>
      <c r="EU271" s="20"/>
      <c r="EV271" s="20"/>
      <c r="EW271" s="20"/>
      <c r="EX271" s="20"/>
      <c r="EY271" s="20"/>
      <c r="EZ271" s="20"/>
      <c r="FA271" s="20"/>
      <c r="FB271" s="20"/>
      <c r="FC271" s="20"/>
      <c r="FD271" s="20"/>
      <c r="FE271" s="20"/>
      <c r="FF271" s="20"/>
      <c r="FG271" s="20"/>
      <c r="FH271" s="20"/>
      <c r="FI271" s="20"/>
      <c r="FJ271" s="20"/>
      <c r="FK271" s="20"/>
      <c r="FL271" s="20"/>
      <c r="FM271" s="20"/>
      <c r="FN271" s="20"/>
      <c r="FO271" s="20"/>
      <c r="FP271" s="20"/>
      <c r="FQ271" s="20"/>
      <c r="FR271" s="20"/>
      <c r="FS271" s="20"/>
      <c r="FT271" s="20"/>
      <c r="FU271" s="20"/>
      <c r="FV271" s="20"/>
      <c r="FW271" s="20"/>
      <c r="FX271" s="20"/>
      <c r="FY271" s="20"/>
      <c r="FZ271" s="20"/>
      <c r="GA271" s="20"/>
    </row>
    <row r="272" spans="1:183" x14ac:dyDescent="0.2">
      <c r="A272" s="117" t="str">
        <f>+'[1]Tehuipango Subproductos'!A15</f>
        <v>Chilacayota seca (madura)</v>
      </c>
      <c r="B272" s="196"/>
      <c r="C272" s="196"/>
      <c r="D272" s="102"/>
      <c r="E272" s="102">
        <f>+'[1]Tehuipango Subproductos'!K15</f>
        <v>50</v>
      </c>
      <c r="F272" s="102"/>
      <c r="G272" s="100"/>
      <c r="H272" s="100">
        <f>+'[1]Tehuipango Subproductos'!G15</f>
        <v>5</v>
      </c>
      <c r="I272" s="100"/>
      <c r="J272" s="372">
        <f t="shared" si="30"/>
        <v>250</v>
      </c>
      <c r="K272" s="372">
        <f t="shared" si="29"/>
        <v>500</v>
      </c>
      <c r="R272" s="4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20"/>
      <c r="DU272" s="20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  <c r="EP272" s="20"/>
      <c r="EQ272" s="20"/>
      <c r="ER272" s="20"/>
      <c r="ES272" s="20"/>
      <c r="ET272" s="20"/>
      <c r="EU272" s="20"/>
      <c r="EV272" s="20"/>
      <c r="EW272" s="20"/>
      <c r="EX272" s="20"/>
      <c r="EY272" s="20"/>
      <c r="EZ272" s="20"/>
      <c r="FA272" s="20"/>
      <c r="FB272" s="20"/>
      <c r="FC272" s="20"/>
      <c r="FD272" s="20"/>
      <c r="FE272" s="20"/>
      <c r="FF272" s="20"/>
      <c r="FG272" s="20"/>
      <c r="FH272" s="20"/>
      <c r="FI272" s="20"/>
      <c r="FJ272" s="20"/>
      <c r="FK272" s="20"/>
      <c r="FL272" s="20"/>
      <c r="FM272" s="20"/>
      <c r="FN272" s="20"/>
      <c r="FO272" s="20"/>
      <c r="FP272" s="20"/>
      <c r="FQ272" s="20"/>
      <c r="FR272" s="20"/>
      <c r="FS272" s="20"/>
      <c r="FT272" s="20"/>
      <c r="FU272" s="20"/>
      <c r="FV272" s="20"/>
      <c r="FW272" s="20"/>
      <c r="FX272" s="20"/>
      <c r="FY272" s="20"/>
      <c r="FZ272" s="20"/>
      <c r="GA272" s="20"/>
    </row>
    <row r="273" spans="1:183" x14ac:dyDescent="0.2">
      <c r="A273" s="117" t="str">
        <f>+'[1]Tehuipango Subproductos'!A16</f>
        <v>Navayote semilla</v>
      </c>
      <c r="B273" s="196"/>
      <c r="C273" s="196"/>
      <c r="D273" s="102"/>
      <c r="E273" s="102">
        <f>+'[1]Tehuipango Subproductos'!E16</f>
        <v>40</v>
      </c>
      <c r="F273" s="102"/>
      <c r="G273" s="100"/>
      <c r="H273" s="100">
        <f>+'[1]Tehuipango Subproductos'!D16</f>
        <v>0.5</v>
      </c>
      <c r="I273" s="100"/>
      <c r="J273" s="372">
        <f t="shared" si="30"/>
        <v>20</v>
      </c>
      <c r="K273" s="372">
        <f t="shared" si="29"/>
        <v>40</v>
      </c>
      <c r="R273" s="4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  <c r="DH273" s="20"/>
      <c r="DI273" s="20"/>
      <c r="DJ273" s="20"/>
      <c r="DK273" s="20"/>
      <c r="DL273" s="20"/>
      <c r="DM273" s="20"/>
      <c r="DN273" s="20"/>
      <c r="DO273" s="20"/>
      <c r="DP273" s="20"/>
      <c r="DQ273" s="20"/>
      <c r="DR273" s="20"/>
      <c r="DS273" s="20"/>
      <c r="DT273" s="20"/>
      <c r="DU273" s="20"/>
      <c r="DV273" s="20"/>
      <c r="DW273" s="20"/>
      <c r="DX273" s="20"/>
      <c r="DY273" s="20"/>
      <c r="DZ273" s="20"/>
      <c r="EA273" s="20"/>
      <c r="EB273" s="20"/>
      <c r="EC273" s="20"/>
      <c r="ED273" s="20"/>
      <c r="EE273" s="20"/>
      <c r="EF273" s="20"/>
      <c r="EG273" s="20"/>
      <c r="EH273" s="20"/>
      <c r="EI273" s="20"/>
      <c r="EJ273" s="20"/>
      <c r="EK273" s="20"/>
      <c r="EL273" s="20"/>
      <c r="EM273" s="20"/>
      <c r="EN273" s="20"/>
      <c r="EO273" s="20"/>
      <c r="EP273" s="20"/>
      <c r="EQ273" s="20"/>
      <c r="ER273" s="20"/>
      <c r="ES273" s="20"/>
      <c r="ET273" s="20"/>
      <c r="EU273" s="20"/>
      <c r="EV273" s="20"/>
      <c r="EW273" s="20"/>
      <c r="EX273" s="20"/>
      <c r="EY273" s="20"/>
      <c r="EZ273" s="20"/>
      <c r="FA273" s="20"/>
      <c r="FB273" s="20"/>
      <c r="FC273" s="20"/>
      <c r="FD273" s="20"/>
      <c r="FE273" s="20"/>
      <c r="FF273" s="20"/>
      <c r="FG273" s="20"/>
      <c r="FH273" s="20"/>
      <c r="FI273" s="20"/>
      <c r="FJ273" s="20"/>
      <c r="FK273" s="20"/>
      <c r="FL273" s="20"/>
      <c r="FM273" s="20"/>
      <c r="FN273" s="20"/>
      <c r="FO273" s="20"/>
      <c r="FP273" s="20"/>
      <c r="FQ273" s="20"/>
      <c r="FR273" s="20"/>
      <c r="FS273" s="20"/>
      <c r="FT273" s="20"/>
      <c r="FU273" s="20"/>
      <c r="FV273" s="20"/>
      <c r="FW273" s="20"/>
      <c r="FX273" s="20"/>
      <c r="FY273" s="20"/>
      <c r="FZ273" s="20"/>
      <c r="GA273" s="20"/>
    </row>
    <row r="274" spans="1:183" x14ac:dyDescent="0.2">
      <c r="A274" s="117" t="str">
        <f>+'[1]Tehuipango Subproductos'!A17</f>
        <v>Navayote semilla (venta)</v>
      </c>
      <c r="B274" s="196"/>
      <c r="C274" s="196"/>
      <c r="D274" s="102"/>
      <c r="E274" s="102">
        <f>+'[1]Tehuipango Subproductos'!K17</f>
        <v>40</v>
      </c>
      <c r="F274" s="102"/>
      <c r="G274" s="100"/>
      <c r="H274" s="113">
        <f>+'[1]Tehuipango Subproductos'!F17</f>
        <v>5</v>
      </c>
      <c r="I274" s="100"/>
      <c r="J274" s="372">
        <f t="shared" si="30"/>
        <v>200</v>
      </c>
      <c r="K274" s="372">
        <f t="shared" si="29"/>
        <v>400</v>
      </c>
      <c r="R274" s="4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20"/>
      <c r="DU274" s="20"/>
      <c r="DV274" s="20"/>
      <c r="DW274" s="20"/>
      <c r="DX274" s="20"/>
      <c r="DY274" s="20"/>
      <c r="DZ274" s="20"/>
      <c r="EA274" s="20"/>
      <c r="EB274" s="20"/>
      <c r="EC274" s="20"/>
      <c r="ED274" s="20"/>
      <c r="EE274" s="20"/>
      <c r="EF274" s="20"/>
      <c r="EG274" s="20"/>
      <c r="EH274" s="20"/>
      <c r="EI274" s="20"/>
      <c r="EJ274" s="20"/>
      <c r="EK274" s="20"/>
      <c r="EL274" s="20"/>
      <c r="EM274" s="20"/>
      <c r="EN274" s="20"/>
      <c r="EO274" s="20"/>
      <c r="EP274" s="20"/>
      <c r="EQ274" s="20"/>
      <c r="ER274" s="20"/>
      <c r="ES274" s="20"/>
      <c r="ET274" s="20"/>
      <c r="EU274" s="20"/>
      <c r="EV274" s="20"/>
      <c r="EW274" s="20"/>
      <c r="EX274" s="20"/>
      <c r="EY274" s="20"/>
      <c r="EZ274" s="20"/>
      <c r="FA274" s="20"/>
      <c r="FB274" s="20"/>
      <c r="FC274" s="20"/>
      <c r="FD274" s="20"/>
      <c r="FE274" s="20"/>
      <c r="FF274" s="20"/>
      <c r="FG274" s="20"/>
      <c r="FH274" s="20"/>
      <c r="FI274" s="20"/>
      <c r="FJ274" s="20"/>
      <c r="FK274" s="20"/>
      <c r="FL274" s="20"/>
      <c r="FM274" s="20"/>
      <c r="FN274" s="20"/>
      <c r="FO274" s="20"/>
      <c r="FP274" s="20"/>
      <c r="FQ274" s="20"/>
      <c r="FR274" s="20"/>
      <c r="FS274" s="20"/>
      <c r="FT274" s="20"/>
      <c r="FU274" s="20"/>
      <c r="FV274" s="20"/>
      <c r="FW274" s="20"/>
      <c r="FX274" s="20"/>
      <c r="FY274" s="20"/>
      <c r="FZ274" s="20"/>
      <c r="GA274" s="20"/>
    </row>
    <row r="275" spans="1:183" x14ac:dyDescent="0.2">
      <c r="A275" s="117" t="str">
        <f>+'[1]Tehuipango Subproductos'!A18</f>
        <v>Navayote seco</v>
      </c>
      <c r="B275" s="196"/>
      <c r="C275" s="196"/>
      <c r="D275" s="102"/>
      <c r="E275" s="102">
        <f>+'[1]Tehuipango Subproductos'!K18</f>
        <v>50</v>
      </c>
      <c r="F275" s="102"/>
      <c r="G275" s="100"/>
      <c r="H275" s="113">
        <v>4</v>
      </c>
      <c r="I275" s="100"/>
      <c r="J275" s="372">
        <f t="shared" si="30"/>
        <v>200</v>
      </c>
      <c r="K275" s="372">
        <f t="shared" si="29"/>
        <v>400</v>
      </c>
      <c r="R275" s="4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20"/>
      <c r="DU275" s="20"/>
      <c r="DV275" s="20"/>
      <c r="DW275" s="20"/>
      <c r="DX275" s="20"/>
      <c r="DY275" s="20"/>
      <c r="DZ275" s="20"/>
      <c r="EA275" s="20"/>
      <c r="EB275" s="20"/>
      <c r="EC275" s="20"/>
      <c r="ED275" s="20"/>
      <c r="EE275" s="20"/>
      <c r="EF275" s="20"/>
      <c r="EG275" s="20"/>
      <c r="EH275" s="20"/>
      <c r="EI275" s="20"/>
      <c r="EJ275" s="20"/>
      <c r="EK275" s="20"/>
      <c r="EL275" s="20"/>
      <c r="EM275" s="20"/>
      <c r="EN275" s="20"/>
      <c r="EO275" s="20"/>
      <c r="EP275" s="20"/>
      <c r="EQ275" s="20"/>
      <c r="ER275" s="20"/>
      <c r="ES275" s="20"/>
      <c r="ET275" s="20"/>
      <c r="EU275" s="20"/>
      <c r="EV275" s="20"/>
      <c r="EW275" s="20"/>
      <c r="EX275" s="20"/>
      <c r="EY275" s="20"/>
      <c r="EZ275" s="20"/>
      <c r="FA275" s="20"/>
      <c r="FB275" s="20"/>
      <c r="FC275" s="20"/>
      <c r="FD275" s="20"/>
      <c r="FE275" s="20"/>
      <c r="FF275" s="20"/>
      <c r="FG275" s="20"/>
      <c r="FH275" s="20"/>
      <c r="FI275" s="20"/>
      <c r="FJ275" s="20"/>
      <c r="FK275" s="20"/>
      <c r="FL275" s="20"/>
      <c r="FM275" s="20"/>
      <c r="FN275" s="20"/>
      <c r="FO275" s="20"/>
      <c r="FP275" s="20"/>
      <c r="FQ275" s="20"/>
      <c r="FR275" s="20"/>
      <c r="FS275" s="20"/>
      <c r="FT275" s="20"/>
      <c r="FU275" s="20"/>
      <c r="FV275" s="20"/>
      <c r="FW275" s="20"/>
      <c r="FX275" s="20"/>
      <c r="FY275" s="20"/>
      <c r="FZ275" s="20"/>
      <c r="GA275" s="20"/>
    </row>
    <row r="276" spans="1:183" x14ac:dyDescent="0.2">
      <c r="A276" s="117" t="str">
        <f>+'[1]Tehuipango Subproductos'!A19</f>
        <v>Haba semilla</v>
      </c>
      <c r="B276" s="196"/>
      <c r="C276" s="196"/>
      <c r="D276" s="102"/>
      <c r="E276" s="102">
        <f>+'[1]Tehuipango Subproductos'!E19</f>
        <v>30</v>
      </c>
      <c r="F276" s="102"/>
      <c r="G276" s="100"/>
      <c r="H276" s="100">
        <f>+'[1]Tehuipango Subproductos'!D19</f>
        <v>2</v>
      </c>
      <c r="I276" s="100"/>
      <c r="J276" s="372">
        <f t="shared" si="30"/>
        <v>60</v>
      </c>
      <c r="K276" s="372">
        <f t="shared" si="29"/>
        <v>120</v>
      </c>
      <c r="R276" s="4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  <c r="DH276" s="20"/>
      <c r="DI276" s="20"/>
      <c r="DJ276" s="20"/>
      <c r="DK276" s="20"/>
      <c r="DL276" s="20"/>
      <c r="DM276" s="20"/>
      <c r="DN276" s="20"/>
      <c r="DO276" s="20"/>
      <c r="DP276" s="20"/>
      <c r="DQ276" s="20"/>
      <c r="DR276" s="20"/>
      <c r="DS276" s="20"/>
      <c r="DT276" s="20"/>
      <c r="DU276" s="20"/>
      <c r="DV276" s="20"/>
      <c r="DW276" s="20"/>
      <c r="DX276" s="20"/>
      <c r="DY276" s="20"/>
      <c r="DZ276" s="20"/>
      <c r="EA276" s="20"/>
      <c r="EB276" s="20"/>
      <c r="EC276" s="20"/>
      <c r="ED276" s="20"/>
      <c r="EE276" s="20"/>
      <c r="EF276" s="20"/>
      <c r="EG276" s="20"/>
      <c r="EH276" s="20"/>
      <c r="EI276" s="20"/>
      <c r="EJ276" s="20"/>
      <c r="EK276" s="20"/>
      <c r="EL276" s="20"/>
      <c r="EM276" s="20"/>
      <c r="EN276" s="20"/>
      <c r="EO276" s="20"/>
      <c r="EP276" s="20"/>
      <c r="EQ276" s="20"/>
      <c r="ER276" s="20"/>
      <c r="ES276" s="20"/>
      <c r="ET276" s="20"/>
      <c r="EU276" s="20"/>
      <c r="EV276" s="20"/>
      <c r="EW276" s="20"/>
      <c r="EX276" s="20"/>
      <c r="EY276" s="20"/>
      <c r="EZ276" s="20"/>
      <c r="FA276" s="20"/>
      <c r="FB276" s="20"/>
      <c r="FC276" s="20"/>
      <c r="FD276" s="20"/>
      <c r="FE276" s="20"/>
      <c r="FF276" s="20"/>
      <c r="FG276" s="20"/>
      <c r="FH276" s="20"/>
      <c r="FI276" s="20"/>
      <c r="FJ276" s="20"/>
      <c r="FK276" s="20"/>
      <c r="FL276" s="20"/>
      <c r="FM276" s="20"/>
      <c r="FN276" s="20"/>
      <c r="FO276" s="20"/>
      <c r="FP276" s="20"/>
      <c r="FQ276" s="20"/>
      <c r="FR276" s="20"/>
      <c r="FS276" s="20"/>
      <c r="FT276" s="20"/>
      <c r="FU276" s="20"/>
      <c r="FV276" s="20"/>
      <c r="FW276" s="20"/>
      <c r="FX276" s="20"/>
      <c r="FY276" s="20"/>
      <c r="FZ276" s="20"/>
      <c r="GA276" s="20"/>
    </row>
    <row r="277" spans="1:183" x14ac:dyDescent="0.2">
      <c r="A277" s="117" t="str">
        <f>+'[1]Tehuipango Subproductos'!A20</f>
        <v>Haba verde (autoconsumo)</v>
      </c>
      <c r="B277" s="196"/>
      <c r="C277" s="196"/>
      <c r="D277" s="102"/>
      <c r="E277" s="102">
        <f>+'[1]Tehuipango Subproductos'!K20</f>
        <v>40</v>
      </c>
      <c r="F277" s="102"/>
      <c r="G277" s="100"/>
      <c r="H277" s="100">
        <f>+'[1]Tehuipango Subproductos'!G20</f>
        <v>5</v>
      </c>
      <c r="I277" s="100"/>
      <c r="J277" s="372">
        <f t="shared" si="30"/>
        <v>200</v>
      </c>
      <c r="K277" s="372">
        <f t="shared" si="29"/>
        <v>400</v>
      </c>
      <c r="R277" s="4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  <c r="DH277" s="20"/>
      <c r="DI277" s="20"/>
      <c r="DJ277" s="20"/>
      <c r="DK277" s="20"/>
      <c r="DL277" s="20"/>
      <c r="DM277" s="20"/>
      <c r="DN277" s="20"/>
      <c r="DO277" s="20"/>
      <c r="DP277" s="20"/>
      <c r="DQ277" s="20"/>
      <c r="DR277" s="20"/>
      <c r="DS277" s="20"/>
      <c r="DT277" s="20"/>
      <c r="DU277" s="20"/>
      <c r="DV277" s="20"/>
      <c r="DW277" s="20"/>
      <c r="DX277" s="20"/>
      <c r="DY277" s="20"/>
      <c r="DZ277" s="20"/>
      <c r="EA277" s="20"/>
      <c r="EB277" s="20"/>
      <c r="EC277" s="20"/>
      <c r="ED277" s="20"/>
      <c r="EE277" s="20"/>
      <c r="EF277" s="20"/>
      <c r="EG277" s="20"/>
      <c r="EH277" s="20"/>
      <c r="EI277" s="20"/>
      <c r="EJ277" s="20"/>
      <c r="EK277" s="20"/>
      <c r="EL277" s="20"/>
      <c r="EM277" s="20"/>
      <c r="EN277" s="20"/>
      <c r="EO277" s="20"/>
      <c r="EP277" s="20"/>
      <c r="EQ277" s="20"/>
      <c r="ER277" s="20"/>
      <c r="ES277" s="20"/>
      <c r="ET277" s="20"/>
      <c r="EU277" s="20"/>
      <c r="EV277" s="20"/>
      <c r="EW277" s="20"/>
      <c r="EX277" s="20"/>
      <c r="EY277" s="20"/>
      <c r="EZ277" s="20"/>
      <c r="FA277" s="20"/>
      <c r="FB277" s="20"/>
      <c r="FC277" s="20"/>
      <c r="FD277" s="20"/>
      <c r="FE277" s="20"/>
      <c r="FF277" s="20"/>
      <c r="FG277" s="20"/>
      <c r="FH277" s="20"/>
      <c r="FI277" s="20"/>
      <c r="FJ277" s="20"/>
      <c r="FK277" s="20"/>
      <c r="FL277" s="20"/>
      <c r="FM277" s="20"/>
      <c r="FN277" s="20"/>
      <c r="FO277" s="20"/>
      <c r="FP277" s="20"/>
      <c r="FQ277" s="20"/>
      <c r="FR277" s="20"/>
      <c r="FS277" s="20"/>
      <c r="FT277" s="20"/>
      <c r="FU277" s="20"/>
      <c r="FV277" s="20"/>
      <c r="FW277" s="20"/>
      <c r="FX277" s="20"/>
      <c r="FY277" s="20"/>
      <c r="FZ277" s="20"/>
      <c r="GA277" s="20"/>
    </row>
    <row r="278" spans="1:183" x14ac:dyDescent="0.2">
      <c r="A278" s="117" t="str">
        <f>+'[1]Tehuipango Subproductos'!A21</f>
        <v>Haba verde (venta)</v>
      </c>
      <c r="B278" s="196"/>
      <c r="C278" s="196"/>
      <c r="D278" s="102"/>
      <c r="E278" s="102">
        <f>+'[1]Tehuipango Subproductos'!K21</f>
        <v>40</v>
      </c>
      <c r="F278" s="102"/>
      <c r="G278" s="100"/>
      <c r="H278" s="100">
        <f>+'[1]Tehuipango Subproductos'!G21</f>
        <v>10</v>
      </c>
      <c r="I278" s="100"/>
      <c r="J278" s="372">
        <f t="shared" si="30"/>
        <v>400</v>
      </c>
      <c r="K278" s="372">
        <f t="shared" si="29"/>
        <v>800</v>
      </c>
      <c r="R278" s="4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  <c r="DH278" s="20"/>
      <c r="DI278" s="20"/>
      <c r="DJ278" s="20"/>
      <c r="DK278" s="20"/>
      <c r="DL278" s="20"/>
      <c r="DM278" s="20"/>
      <c r="DN278" s="20"/>
      <c r="DO278" s="20"/>
      <c r="DP278" s="20"/>
      <c r="DQ278" s="20"/>
      <c r="DR278" s="20"/>
      <c r="DS278" s="20"/>
      <c r="DT278" s="20"/>
      <c r="DU278" s="20"/>
      <c r="DV278" s="20"/>
      <c r="DW278" s="20"/>
      <c r="DX278" s="20"/>
      <c r="DY278" s="20"/>
      <c r="DZ278" s="20"/>
      <c r="EA278" s="20"/>
      <c r="EB278" s="20"/>
      <c r="EC278" s="20"/>
      <c r="ED278" s="20"/>
      <c r="EE278" s="20"/>
      <c r="EF278" s="20"/>
      <c r="EG278" s="20"/>
      <c r="EH278" s="20"/>
      <c r="EI278" s="20"/>
      <c r="EJ278" s="20"/>
      <c r="EK278" s="20"/>
      <c r="EL278" s="20"/>
      <c r="EM278" s="20"/>
      <c r="EN278" s="20"/>
      <c r="EO278" s="20"/>
      <c r="EP278" s="20"/>
      <c r="EQ278" s="20"/>
      <c r="ER278" s="20"/>
      <c r="ES278" s="20"/>
      <c r="ET278" s="20"/>
      <c r="EU278" s="20"/>
      <c r="EV278" s="20"/>
      <c r="EW278" s="20"/>
      <c r="EX278" s="20"/>
      <c r="EY278" s="20"/>
      <c r="EZ278" s="20"/>
      <c r="FA278" s="20"/>
      <c r="FB278" s="20"/>
      <c r="FC278" s="20"/>
      <c r="FD278" s="20"/>
      <c r="FE278" s="20"/>
      <c r="FF278" s="20"/>
      <c r="FG278" s="20"/>
      <c r="FH278" s="20"/>
      <c r="FI278" s="20"/>
      <c r="FJ278" s="20"/>
      <c r="FK278" s="20"/>
      <c r="FL278" s="20"/>
      <c r="FM278" s="20"/>
      <c r="FN278" s="20"/>
      <c r="FO278" s="20"/>
      <c r="FP278" s="20"/>
      <c r="FQ278" s="20"/>
      <c r="FR278" s="20"/>
      <c r="FS278" s="20"/>
      <c r="FT278" s="20"/>
      <c r="FU278" s="20"/>
      <c r="FV278" s="20"/>
      <c r="FW278" s="20"/>
      <c r="FX278" s="20"/>
      <c r="FY278" s="20"/>
      <c r="FZ278" s="20"/>
      <c r="GA278" s="20"/>
    </row>
    <row r="279" spans="1:183" x14ac:dyDescent="0.2">
      <c r="A279" s="117" t="str">
        <f>+'[1]Tehuipango Subproductos'!A22</f>
        <v>Haba seca</v>
      </c>
      <c r="B279" s="196"/>
      <c r="C279" s="196"/>
      <c r="D279" s="102"/>
      <c r="E279" s="102">
        <f>+'[1]Tehuipango Subproductos'!K22</f>
        <v>30</v>
      </c>
      <c r="F279" s="102"/>
      <c r="G279" s="100"/>
      <c r="H279" s="113">
        <v>4</v>
      </c>
      <c r="I279" s="100"/>
      <c r="J279" s="372">
        <f t="shared" si="30"/>
        <v>120</v>
      </c>
      <c r="K279" s="372">
        <f t="shared" si="29"/>
        <v>240</v>
      </c>
      <c r="R279" s="4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  <c r="DH279" s="20"/>
      <c r="DI279" s="20"/>
      <c r="DJ279" s="20"/>
      <c r="DK279" s="20"/>
      <c r="DL279" s="20"/>
      <c r="DM279" s="20"/>
      <c r="DN279" s="20"/>
      <c r="DO279" s="20"/>
      <c r="DP279" s="20"/>
      <c r="DQ279" s="20"/>
      <c r="DR279" s="20"/>
      <c r="DS279" s="20"/>
      <c r="DT279" s="20"/>
      <c r="DU279" s="20"/>
      <c r="DV279" s="20"/>
      <c r="DW279" s="20"/>
      <c r="DX279" s="20"/>
      <c r="DY279" s="20"/>
      <c r="DZ279" s="20"/>
      <c r="EA279" s="20"/>
      <c r="EB279" s="20"/>
      <c r="EC279" s="20"/>
      <c r="ED279" s="20"/>
      <c r="EE279" s="20"/>
      <c r="EF279" s="20"/>
      <c r="EG279" s="20"/>
      <c r="EH279" s="20"/>
      <c r="EI279" s="20"/>
      <c r="EJ279" s="20"/>
      <c r="EK279" s="20"/>
      <c r="EL279" s="20"/>
      <c r="EM279" s="20"/>
      <c r="EN279" s="20"/>
      <c r="EO279" s="20"/>
      <c r="EP279" s="20"/>
      <c r="EQ279" s="20"/>
      <c r="ER279" s="20"/>
      <c r="ES279" s="20"/>
      <c r="ET279" s="20"/>
      <c r="EU279" s="20"/>
      <c r="EV279" s="20"/>
      <c r="EW279" s="20"/>
      <c r="EX279" s="20"/>
      <c r="EY279" s="20"/>
      <c r="EZ279" s="20"/>
      <c r="FA279" s="20"/>
      <c r="FB279" s="20"/>
      <c r="FC279" s="20"/>
      <c r="FD279" s="20"/>
      <c r="FE279" s="20"/>
      <c r="FF279" s="20"/>
      <c r="FG279" s="20"/>
      <c r="FH279" s="20"/>
      <c r="FI279" s="20"/>
      <c r="FJ279" s="20"/>
      <c r="FK279" s="20"/>
      <c r="FL279" s="20"/>
      <c r="FM279" s="20"/>
      <c r="FN279" s="20"/>
      <c r="FO279" s="20"/>
      <c r="FP279" s="20"/>
      <c r="FQ279" s="20"/>
      <c r="FR279" s="20"/>
      <c r="FS279" s="20"/>
      <c r="FT279" s="20"/>
      <c r="FU279" s="20"/>
      <c r="FV279" s="20"/>
      <c r="FW279" s="20"/>
      <c r="FX279" s="20"/>
      <c r="FY279" s="20"/>
      <c r="FZ279" s="20"/>
      <c r="GA279" s="20"/>
    </row>
    <row r="280" spans="1:183" ht="15" x14ac:dyDescent="0.2">
      <c r="A280" s="230" t="s">
        <v>302</v>
      </c>
      <c r="B280" s="230"/>
      <c r="C280" s="230"/>
      <c r="D280" s="100"/>
      <c r="E280" s="100"/>
      <c r="F280" s="100"/>
      <c r="G280" s="100"/>
      <c r="H280" s="100"/>
      <c r="I280" s="100"/>
      <c r="J280" s="232">
        <f>SUM(J281:J287)</f>
        <v>8170</v>
      </c>
      <c r="K280" s="232">
        <f t="shared" si="29"/>
        <v>16340</v>
      </c>
      <c r="R280" s="4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/>
      <c r="DH280" s="20"/>
      <c r="DI280" s="20"/>
      <c r="DJ280" s="20"/>
      <c r="DK280" s="20"/>
      <c r="DL280" s="20"/>
      <c r="DM280" s="20"/>
      <c r="DN280" s="20"/>
      <c r="DO280" s="20"/>
      <c r="DP280" s="20"/>
      <c r="DQ280" s="20"/>
      <c r="DR280" s="20"/>
      <c r="DS280" s="20"/>
      <c r="DT280" s="20"/>
      <c r="DU280" s="20"/>
      <c r="DV280" s="20"/>
      <c r="DW280" s="20"/>
      <c r="DX280" s="20"/>
      <c r="DY280" s="20"/>
      <c r="DZ280" s="20"/>
      <c r="EA280" s="20"/>
      <c r="EB280" s="20"/>
      <c r="EC280" s="20"/>
      <c r="ED280" s="20"/>
      <c r="EE280" s="20"/>
      <c r="EF280" s="20"/>
      <c r="EG280" s="20"/>
      <c r="EH280" s="20"/>
      <c r="EI280" s="20"/>
      <c r="EJ280" s="20"/>
      <c r="EK280" s="20"/>
      <c r="EL280" s="20"/>
      <c r="EM280" s="20"/>
      <c r="EN280" s="20"/>
      <c r="EO280" s="20"/>
      <c r="EP280" s="20"/>
      <c r="EQ280" s="20"/>
      <c r="ER280" s="20"/>
      <c r="ES280" s="20"/>
      <c r="ET280" s="20"/>
      <c r="EU280" s="20"/>
      <c r="EV280" s="20"/>
      <c r="EW280" s="20"/>
      <c r="EX280" s="20"/>
      <c r="EY280" s="20"/>
      <c r="EZ280" s="20"/>
      <c r="FA280" s="20"/>
      <c r="FB280" s="20"/>
      <c r="FC280" s="20"/>
      <c r="FD280" s="20"/>
      <c r="FE280" s="20"/>
      <c r="FF280" s="20"/>
      <c r="FG280" s="20"/>
      <c r="FH280" s="20"/>
      <c r="FI280" s="20"/>
      <c r="FJ280" s="20"/>
      <c r="FK280" s="20"/>
      <c r="FL280" s="20"/>
      <c r="FM280" s="20"/>
      <c r="FN280" s="20"/>
      <c r="FO280" s="20"/>
      <c r="FP280" s="20"/>
      <c r="FQ280" s="20"/>
      <c r="FR280" s="20"/>
      <c r="FS280" s="20"/>
      <c r="FT280" s="20"/>
      <c r="FU280" s="20"/>
      <c r="FV280" s="20"/>
      <c r="FW280" s="20"/>
      <c r="FX280" s="20"/>
      <c r="FY280" s="20"/>
      <c r="FZ280" s="20"/>
      <c r="GA280" s="20"/>
    </row>
    <row r="281" spans="1:183" x14ac:dyDescent="0.2">
      <c r="A281" s="117" t="str">
        <f>+'[1]Tehuipango Subproductos'!A23</f>
        <v>Elotes</v>
      </c>
      <c r="B281" s="196"/>
      <c r="C281" s="196"/>
      <c r="D281" s="102"/>
      <c r="E281" s="102">
        <f>+'[1]Tehuipango Subproductos'!K23</f>
        <v>10</v>
      </c>
      <c r="F281" s="102"/>
      <c r="G281" s="100"/>
      <c r="H281" s="100">
        <f>+'[1]Tehuipango Subproductos'!G23</f>
        <v>300</v>
      </c>
      <c r="I281" s="100"/>
      <c r="J281" s="372">
        <f t="shared" ref="J281:J287" si="31">E281*H281</f>
        <v>3000</v>
      </c>
      <c r="K281" s="372">
        <f t="shared" si="29"/>
        <v>6000</v>
      </c>
      <c r="R281" s="4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20"/>
      <c r="DU281" s="20"/>
      <c r="DV281" s="20"/>
      <c r="DW281" s="20"/>
      <c r="DX281" s="20"/>
      <c r="DY281" s="20"/>
      <c r="DZ281" s="20"/>
      <c r="EA281" s="20"/>
      <c r="EB281" s="20"/>
      <c r="EC281" s="20"/>
      <c r="ED281" s="20"/>
      <c r="EE281" s="20"/>
      <c r="EF281" s="20"/>
      <c r="EG281" s="20"/>
      <c r="EH281" s="20"/>
      <c r="EI281" s="20"/>
      <c r="EJ281" s="20"/>
      <c r="EK281" s="20"/>
      <c r="EL281" s="20"/>
      <c r="EM281" s="20"/>
      <c r="EN281" s="20"/>
      <c r="EO281" s="20"/>
      <c r="EP281" s="20"/>
      <c r="EQ281" s="20"/>
      <c r="ER281" s="20"/>
      <c r="ES281" s="20"/>
      <c r="ET281" s="20"/>
      <c r="EU281" s="20"/>
      <c r="EV281" s="20"/>
      <c r="EW281" s="20"/>
      <c r="EX281" s="20"/>
      <c r="EY281" s="20"/>
      <c r="EZ281" s="20"/>
      <c r="FA281" s="20"/>
      <c r="FB281" s="20"/>
      <c r="FC281" s="20"/>
      <c r="FD281" s="20"/>
      <c r="FE281" s="20"/>
      <c r="FF281" s="20"/>
      <c r="FG281" s="20"/>
      <c r="FH281" s="20"/>
      <c r="FI281" s="20"/>
      <c r="FJ281" s="20"/>
      <c r="FK281" s="20"/>
      <c r="FL281" s="20"/>
      <c r="FM281" s="20"/>
      <c r="FN281" s="20"/>
      <c r="FO281" s="20"/>
      <c r="FP281" s="20"/>
      <c r="FQ281" s="20"/>
      <c r="FR281" s="20"/>
      <c r="FS281" s="20"/>
      <c r="FT281" s="20"/>
      <c r="FU281" s="20"/>
      <c r="FV281" s="20"/>
      <c r="FW281" s="20"/>
      <c r="FX281" s="20"/>
      <c r="FY281" s="20"/>
      <c r="FZ281" s="20"/>
      <c r="GA281" s="20"/>
    </row>
    <row r="282" spans="1:183" x14ac:dyDescent="0.2">
      <c r="A282" s="117" t="str">
        <f>+'[1]Tehuipango Subproductos'!A24</f>
        <v>Quelites</v>
      </c>
      <c r="B282" s="196"/>
      <c r="C282" s="196"/>
      <c r="D282" s="102"/>
      <c r="E282" s="102">
        <f>+'[1]Tehuipango Subproductos'!K24</f>
        <v>10</v>
      </c>
      <c r="F282" s="102"/>
      <c r="G282" s="100"/>
      <c r="H282" s="100">
        <f>+'[1]Tehuipango Subproductos'!G24</f>
        <v>1</v>
      </c>
      <c r="I282" s="100"/>
      <c r="J282" s="372">
        <f t="shared" si="31"/>
        <v>10</v>
      </c>
      <c r="K282" s="372">
        <f t="shared" si="29"/>
        <v>20</v>
      </c>
      <c r="R282" s="4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/>
      <c r="DH282" s="20"/>
      <c r="DI282" s="20"/>
      <c r="DJ282" s="20"/>
      <c r="DK282" s="20"/>
      <c r="DL282" s="20"/>
      <c r="DM282" s="20"/>
      <c r="DN282" s="20"/>
      <c r="DO282" s="20"/>
      <c r="DP282" s="20"/>
      <c r="DQ282" s="20"/>
      <c r="DR282" s="20"/>
      <c r="DS282" s="20"/>
      <c r="DT282" s="20"/>
      <c r="DU282" s="20"/>
      <c r="DV282" s="20"/>
      <c r="DW282" s="20"/>
      <c r="DX282" s="20"/>
      <c r="DY282" s="20"/>
      <c r="DZ282" s="20"/>
      <c r="EA282" s="20"/>
      <c r="EB282" s="20"/>
      <c r="EC282" s="20"/>
      <c r="ED282" s="20"/>
      <c r="EE282" s="20"/>
      <c r="EF282" s="20"/>
      <c r="EG282" s="20"/>
      <c r="EH282" s="20"/>
      <c r="EI282" s="20"/>
      <c r="EJ282" s="20"/>
      <c r="EK282" s="20"/>
      <c r="EL282" s="20"/>
      <c r="EM282" s="20"/>
      <c r="EN282" s="20"/>
      <c r="EO282" s="20"/>
      <c r="EP282" s="20"/>
      <c r="EQ282" s="20"/>
      <c r="ER282" s="20"/>
      <c r="ES282" s="20"/>
      <c r="ET282" s="20"/>
      <c r="EU282" s="20"/>
      <c r="EV282" s="20"/>
      <c r="EW282" s="20"/>
      <c r="EX282" s="20"/>
      <c r="EY282" s="20"/>
      <c r="EZ282" s="20"/>
      <c r="FA282" s="20"/>
      <c r="FB282" s="20"/>
      <c r="FC282" s="20"/>
      <c r="FD282" s="20"/>
      <c r="FE282" s="20"/>
      <c r="FF282" s="20"/>
      <c r="FG282" s="20"/>
      <c r="FH282" s="20"/>
      <c r="FI282" s="20"/>
      <c r="FJ282" s="20"/>
      <c r="FK282" s="20"/>
      <c r="FL282" s="20"/>
      <c r="FM282" s="20"/>
      <c r="FN282" s="20"/>
      <c r="FO282" s="20"/>
      <c r="FP282" s="20"/>
      <c r="FQ282" s="20"/>
      <c r="FR282" s="20"/>
      <c r="FS282" s="20"/>
      <c r="FT282" s="20"/>
      <c r="FU282" s="20"/>
      <c r="FV282" s="20"/>
      <c r="FW282" s="20"/>
      <c r="FX282" s="20"/>
      <c r="FY282" s="20"/>
      <c r="FZ282" s="20"/>
      <c r="GA282" s="20"/>
    </row>
    <row r="283" spans="1:183" x14ac:dyDescent="0.2">
      <c r="A283" s="117" t="str">
        <f>+'[1]Tehuipango Subproductos'!A25</f>
        <v>Esquilmos (chinamite) Milobatl</v>
      </c>
      <c r="B283" s="196"/>
      <c r="C283" s="196"/>
      <c r="D283" s="102"/>
      <c r="E283" s="102">
        <f>+'[1]Tehuipango Subproductos'!K25</f>
        <v>500</v>
      </c>
      <c r="F283" s="102"/>
      <c r="G283" s="100"/>
      <c r="H283" s="100">
        <f>+'[1]Tehuipango Subproductos'!G25</f>
        <v>10</v>
      </c>
      <c r="I283" s="100"/>
      <c r="J283" s="372">
        <f t="shared" si="31"/>
        <v>5000</v>
      </c>
      <c r="K283" s="372">
        <f t="shared" si="29"/>
        <v>10000</v>
      </c>
      <c r="R283" s="4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  <c r="DH283" s="20"/>
      <c r="DI283" s="20"/>
      <c r="DJ283" s="20"/>
      <c r="DK283" s="20"/>
      <c r="DL283" s="20"/>
      <c r="DM283" s="20"/>
      <c r="DN283" s="20"/>
      <c r="DO283" s="20"/>
      <c r="DP283" s="20"/>
      <c r="DQ283" s="20"/>
      <c r="DR283" s="20"/>
      <c r="DS283" s="20"/>
      <c r="DT283" s="20"/>
      <c r="DU283" s="20"/>
      <c r="DV283" s="20"/>
      <c r="DW283" s="20"/>
      <c r="DX283" s="20"/>
      <c r="DY283" s="20"/>
      <c r="DZ283" s="20"/>
      <c r="EA283" s="20"/>
      <c r="EB283" s="20"/>
      <c r="EC283" s="20"/>
      <c r="ED283" s="20"/>
      <c r="EE283" s="20"/>
      <c r="EF283" s="20"/>
      <c r="EG283" s="20"/>
      <c r="EH283" s="20"/>
      <c r="EI283" s="20"/>
      <c r="EJ283" s="20"/>
      <c r="EK283" s="20"/>
      <c r="EL283" s="20"/>
      <c r="EM283" s="20"/>
      <c r="EN283" s="20"/>
      <c r="EO283" s="20"/>
      <c r="EP283" s="20"/>
      <c r="EQ283" s="20"/>
      <c r="ER283" s="20"/>
      <c r="ES283" s="20"/>
      <c r="ET283" s="20"/>
      <c r="EU283" s="20"/>
      <c r="EV283" s="20"/>
      <c r="EW283" s="20"/>
      <c r="EX283" s="20"/>
      <c r="EY283" s="20"/>
      <c r="EZ283" s="20"/>
      <c r="FA283" s="20"/>
      <c r="FB283" s="20"/>
      <c r="FC283" s="20"/>
      <c r="FD283" s="20"/>
      <c r="FE283" s="20"/>
      <c r="FF283" s="20"/>
      <c r="FG283" s="20"/>
      <c r="FH283" s="20"/>
      <c r="FI283" s="20"/>
      <c r="FJ283" s="20"/>
      <c r="FK283" s="20"/>
      <c r="FL283" s="20"/>
      <c r="FM283" s="20"/>
      <c r="FN283" s="20"/>
      <c r="FO283" s="20"/>
      <c r="FP283" s="20"/>
      <c r="FQ283" s="20"/>
      <c r="FR283" s="20"/>
      <c r="FS283" s="20"/>
      <c r="FT283" s="20"/>
      <c r="FU283" s="20"/>
      <c r="FV283" s="20"/>
      <c r="FW283" s="20"/>
      <c r="FX283" s="20"/>
      <c r="FY283" s="20"/>
      <c r="FZ283" s="20"/>
      <c r="GA283" s="20"/>
    </row>
    <row r="284" spans="1:183" x14ac:dyDescent="0.2">
      <c r="A284" s="117" t="str">
        <f>+'[1]Tehuipango Subproductos'!A26</f>
        <v>Hoja de tamal</v>
      </c>
      <c r="B284" s="196"/>
      <c r="C284" s="196"/>
      <c r="D284" s="102"/>
      <c r="E284" s="102">
        <f>+'[1]Tehuipango Subproductos'!K26</f>
        <v>80</v>
      </c>
      <c r="F284" s="102"/>
      <c r="G284" s="100"/>
      <c r="H284" s="100">
        <f>+'[1]Tehuipango Subproductos'!G26</f>
        <v>1</v>
      </c>
      <c r="I284" s="100"/>
      <c r="J284" s="372">
        <f t="shared" si="31"/>
        <v>80</v>
      </c>
      <c r="K284" s="372">
        <f t="shared" si="29"/>
        <v>160</v>
      </c>
      <c r="R284" s="4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  <c r="DH284" s="20"/>
      <c r="DI284" s="20"/>
      <c r="DJ284" s="20"/>
      <c r="DK284" s="20"/>
      <c r="DL284" s="20"/>
      <c r="DM284" s="20"/>
      <c r="DN284" s="20"/>
      <c r="DO284" s="20"/>
      <c r="DP284" s="20"/>
      <c r="DQ284" s="20"/>
      <c r="DR284" s="20"/>
      <c r="DS284" s="20"/>
      <c r="DT284" s="20"/>
      <c r="DU284" s="20"/>
      <c r="DV284" s="20"/>
      <c r="DW284" s="20"/>
      <c r="DX284" s="20"/>
      <c r="DY284" s="20"/>
      <c r="DZ284" s="20"/>
      <c r="EA284" s="20"/>
      <c r="EB284" s="20"/>
      <c r="EC284" s="20"/>
      <c r="ED284" s="20"/>
      <c r="EE284" s="20"/>
      <c r="EF284" s="20"/>
      <c r="EG284" s="20"/>
      <c r="EH284" s="20"/>
      <c r="EI284" s="20"/>
      <c r="EJ284" s="20"/>
      <c r="EK284" s="20"/>
      <c r="EL284" s="20"/>
      <c r="EM284" s="20"/>
      <c r="EN284" s="20"/>
      <c r="EO284" s="20"/>
      <c r="EP284" s="20"/>
      <c r="EQ284" s="20"/>
      <c r="ER284" s="20"/>
      <c r="ES284" s="20"/>
      <c r="ET284" s="20"/>
      <c r="EU284" s="20"/>
      <c r="EV284" s="20"/>
      <c r="EW284" s="20"/>
      <c r="EX284" s="20"/>
      <c r="EY284" s="20"/>
      <c r="EZ284" s="20"/>
      <c r="FA284" s="20"/>
      <c r="FB284" s="20"/>
      <c r="FC284" s="20"/>
      <c r="FD284" s="20"/>
      <c r="FE284" s="20"/>
      <c r="FF284" s="20"/>
      <c r="FG284" s="20"/>
      <c r="FH284" s="20"/>
      <c r="FI284" s="20"/>
      <c r="FJ284" s="20"/>
      <c r="FK284" s="20"/>
      <c r="FL284" s="20"/>
      <c r="FM284" s="20"/>
      <c r="FN284" s="20"/>
      <c r="FO284" s="20"/>
      <c r="FP284" s="20"/>
      <c r="FQ284" s="20"/>
      <c r="FR284" s="20"/>
      <c r="FS284" s="20"/>
      <c r="FT284" s="20"/>
      <c r="FU284" s="20"/>
      <c r="FV284" s="20"/>
      <c r="FW284" s="20"/>
      <c r="FX284" s="20"/>
      <c r="FY284" s="20"/>
      <c r="FZ284" s="20"/>
      <c r="GA284" s="20"/>
    </row>
    <row r="285" spans="1:183" x14ac:dyDescent="0.2">
      <c r="A285" s="117" t="str">
        <f>+'[1]Tehuipango Subproductos'!A27</f>
        <v>Flor de calabaza</v>
      </c>
      <c r="B285" s="196"/>
      <c r="C285" s="196"/>
      <c r="D285" s="102"/>
      <c r="E285" s="102">
        <f>+'[1]Tehuipango Subproductos'!K27</f>
        <v>10</v>
      </c>
      <c r="F285" s="102"/>
      <c r="G285" s="100"/>
      <c r="H285" s="100">
        <f>+'[1]Tehuipango Subproductos'!G27</f>
        <v>2</v>
      </c>
      <c r="I285" s="100"/>
      <c r="J285" s="372">
        <f t="shared" si="31"/>
        <v>20</v>
      </c>
      <c r="K285" s="372">
        <f t="shared" si="29"/>
        <v>40</v>
      </c>
      <c r="R285" s="4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  <c r="DF285" s="20"/>
      <c r="DG285" s="20"/>
      <c r="DH285" s="20"/>
      <c r="DI285" s="20"/>
      <c r="DJ285" s="20"/>
      <c r="DK285" s="20"/>
      <c r="DL285" s="20"/>
      <c r="DM285" s="20"/>
      <c r="DN285" s="20"/>
      <c r="DO285" s="20"/>
      <c r="DP285" s="20"/>
      <c r="DQ285" s="20"/>
      <c r="DR285" s="20"/>
      <c r="DS285" s="20"/>
      <c r="DT285" s="20"/>
      <c r="DU285" s="20"/>
      <c r="DV285" s="20"/>
      <c r="DW285" s="20"/>
      <c r="DX285" s="20"/>
      <c r="DY285" s="20"/>
      <c r="DZ285" s="20"/>
      <c r="EA285" s="20"/>
      <c r="EB285" s="20"/>
      <c r="EC285" s="20"/>
      <c r="ED285" s="20"/>
      <c r="EE285" s="20"/>
      <c r="EF285" s="20"/>
      <c r="EG285" s="20"/>
      <c r="EH285" s="20"/>
      <c r="EI285" s="20"/>
      <c r="EJ285" s="20"/>
      <c r="EK285" s="20"/>
      <c r="EL285" s="20"/>
      <c r="EM285" s="20"/>
      <c r="EN285" s="20"/>
      <c r="EO285" s="20"/>
      <c r="EP285" s="20"/>
      <c r="EQ285" s="20"/>
      <c r="ER285" s="20"/>
      <c r="ES285" s="20"/>
      <c r="ET285" s="20"/>
      <c r="EU285" s="20"/>
      <c r="EV285" s="20"/>
      <c r="EW285" s="20"/>
      <c r="EX285" s="20"/>
      <c r="EY285" s="20"/>
      <c r="EZ285" s="20"/>
      <c r="FA285" s="20"/>
      <c r="FB285" s="20"/>
      <c r="FC285" s="20"/>
      <c r="FD285" s="20"/>
      <c r="FE285" s="20"/>
      <c r="FF285" s="20"/>
      <c r="FG285" s="20"/>
      <c r="FH285" s="20"/>
      <c r="FI285" s="20"/>
      <c r="FJ285" s="20"/>
      <c r="FK285" s="20"/>
      <c r="FL285" s="20"/>
      <c r="FM285" s="20"/>
      <c r="FN285" s="20"/>
      <c r="FO285" s="20"/>
      <c r="FP285" s="20"/>
      <c r="FQ285" s="20"/>
      <c r="FR285" s="20"/>
      <c r="FS285" s="20"/>
      <c r="FT285" s="20"/>
      <c r="FU285" s="20"/>
      <c r="FV285" s="20"/>
      <c r="FW285" s="20"/>
      <c r="FX285" s="20"/>
      <c r="FY285" s="20"/>
      <c r="FZ285" s="20"/>
      <c r="GA285" s="20"/>
    </row>
    <row r="286" spans="1:183" x14ac:dyDescent="0.2">
      <c r="A286" s="117" t="str">
        <f>+'[1]Tehuipango Subproductos'!A28</f>
        <v>Guías</v>
      </c>
      <c r="B286" s="196"/>
      <c r="C286" s="196"/>
      <c r="D286" s="102"/>
      <c r="E286" s="102">
        <f>+'[1]Tehuipango Subproductos'!K28</f>
        <v>10</v>
      </c>
      <c r="F286" s="102"/>
      <c r="G286" s="100"/>
      <c r="H286" s="100">
        <f>+'[1]Tehuipango Subproductos'!G28</f>
        <v>3</v>
      </c>
      <c r="I286" s="100"/>
      <c r="J286" s="372">
        <f t="shared" si="31"/>
        <v>30</v>
      </c>
      <c r="K286" s="372">
        <f t="shared" si="29"/>
        <v>60</v>
      </c>
      <c r="R286" s="4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  <c r="DF286" s="20"/>
      <c r="DG286" s="20"/>
      <c r="DH286" s="20"/>
      <c r="DI286" s="20"/>
      <c r="DJ286" s="20"/>
      <c r="DK286" s="20"/>
      <c r="DL286" s="20"/>
      <c r="DM286" s="20"/>
      <c r="DN286" s="20"/>
      <c r="DO286" s="20"/>
      <c r="DP286" s="20"/>
      <c r="DQ286" s="20"/>
      <c r="DR286" s="20"/>
      <c r="DS286" s="20"/>
      <c r="DT286" s="20"/>
      <c r="DU286" s="20"/>
      <c r="DV286" s="20"/>
      <c r="DW286" s="20"/>
      <c r="DX286" s="20"/>
      <c r="DY286" s="20"/>
      <c r="DZ286" s="20"/>
      <c r="EA286" s="20"/>
      <c r="EB286" s="20"/>
      <c r="EC286" s="20"/>
      <c r="ED286" s="20"/>
      <c r="EE286" s="20"/>
      <c r="EF286" s="20"/>
      <c r="EG286" s="20"/>
      <c r="EH286" s="20"/>
      <c r="EI286" s="20"/>
      <c r="EJ286" s="20"/>
      <c r="EK286" s="20"/>
      <c r="EL286" s="20"/>
      <c r="EM286" s="20"/>
      <c r="EN286" s="20"/>
      <c r="EO286" s="20"/>
      <c r="EP286" s="20"/>
      <c r="EQ286" s="20"/>
      <c r="ER286" s="20"/>
      <c r="ES286" s="20"/>
      <c r="ET286" s="20"/>
      <c r="EU286" s="20"/>
      <c r="EV286" s="20"/>
      <c r="EW286" s="20"/>
      <c r="EX286" s="20"/>
      <c r="EY286" s="20"/>
      <c r="EZ286" s="20"/>
      <c r="FA286" s="20"/>
      <c r="FB286" s="20"/>
      <c r="FC286" s="20"/>
      <c r="FD286" s="20"/>
      <c r="FE286" s="20"/>
      <c r="FF286" s="20"/>
      <c r="FG286" s="20"/>
      <c r="FH286" s="20"/>
      <c r="FI286" s="20"/>
      <c r="FJ286" s="20"/>
      <c r="FK286" s="20"/>
      <c r="FL286" s="20"/>
      <c r="FM286" s="20"/>
      <c r="FN286" s="20"/>
      <c r="FO286" s="20"/>
      <c r="FP286" s="20"/>
      <c r="FQ286" s="20"/>
      <c r="FR286" s="20"/>
      <c r="FS286" s="20"/>
      <c r="FT286" s="20"/>
      <c r="FU286" s="20"/>
      <c r="FV286" s="20"/>
      <c r="FW286" s="20"/>
      <c r="FX286" s="20"/>
      <c r="FY286" s="20"/>
      <c r="FZ286" s="20"/>
      <c r="GA286" s="20"/>
    </row>
    <row r="287" spans="1:183" x14ac:dyDescent="0.2">
      <c r="A287" s="117" t="str">
        <f>+'[1]Tehuipango Subproductos'!A29</f>
        <v>Huitlacoche</v>
      </c>
      <c r="B287" s="196"/>
      <c r="C287" s="196"/>
      <c r="D287" s="102"/>
      <c r="E287" s="102">
        <f>+'[1]Tehuipango Subproductos'!K29</f>
        <v>15</v>
      </c>
      <c r="F287" s="102"/>
      <c r="G287" s="100"/>
      <c r="H287" s="100">
        <f>+'[1]Tehuipango Subproductos'!G29</f>
        <v>2</v>
      </c>
      <c r="I287" s="100"/>
      <c r="J287" s="372">
        <f t="shared" si="31"/>
        <v>30</v>
      </c>
      <c r="K287" s="372">
        <f t="shared" si="29"/>
        <v>60</v>
      </c>
      <c r="R287" s="4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  <c r="DF287" s="20"/>
      <c r="DG287" s="20"/>
      <c r="DH287" s="20"/>
      <c r="DI287" s="20"/>
      <c r="DJ287" s="20"/>
      <c r="DK287" s="20"/>
      <c r="DL287" s="20"/>
      <c r="DM287" s="20"/>
      <c r="DN287" s="20"/>
      <c r="DO287" s="20"/>
      <c r="DP287" s="20"/>
      <c r="DQ287" s="20"/>
      <c r="DR287" s="20"/>
      <c r="DS287" s="20"/>
      <c r="DT287" s="20"/>
      <c r="DU287" s="20"/>
      <c r="DV287" s="20"/>
      <c r="DW287" s="20"/>
      <c r="DX287" s="20"/>
      <c r="DY287" s="20"/>
      <c r="DZ287" s="20"/>
      <c r="EA287" s="20"/>
      <c r="EB287" s="20"/>
      <c r="EC287" s="20"/>
      <c r="ED287" s="20"/>
      <c r="EE287" s="20"/>
      <c r="EF287" s="20"/>
      <c r="EG287" s="20"/>
      <c r="EH287" s="20"/>
      <c r="EI287" s="20"/>
      <c r="EJ287" s="20"/>
      <c r="EK287" s="20"/>
      <c r="EL287" s="20"/>
      <c r="EM287" s="20"/>
      <c r="EN287" s="20"/>
      <c r="EO287" s="20"/>
      <c r="EP287" s="20"/>
      <c r="EQ287" s="20"/>
      <c r="ER287" s="20"/>
      <c r="ES287" s="20"/>
      <c r="ET287" s="20"/>
      <c r="EU287" s="20"/>
      <c r="EV287" s="20"/>
      <c r="EW287" s="20"/>
      <c r="EX287" s="20"/>
      <c r="EY287" s="20"/>
      <c r="EZ287" s="20"/>
      <c r="FA287" s="20"/>
      <c r="FB287" s="20"/>
      <c r="FC287" s="20"/>
      <c r="FD287" s="20"/>
      <c r="FE287" s="20"/>
      <c r="FF287" s="20"/>
      <c r="FG287" s="20"/>
      <c r="FH287" s="20"/>
      <c r="FI287" s="20"/>
      <c r="FJ287" s="20"/>
      <c r="FK287" s="20"/>
      <c r="FL287" s="20"/>
      <c r="FM287" s="20"/>
      <c r="FN287" s="20"/>
      <c r="FO287" s="20"/>
      <c r="FP287" s="20"/>
      <c r="FQ287" s="20"/>
      <c r="FR287" s="20"/>
      <c r="FS287" s="20"/>
      <c r="FT287" s="20"/>
      <c r="FU287" s="20"/>
      <c r="FV287" s="20"/>
      <c r="FW287" s="20"/>
      <c r="FX287" s="20"/>
      <c r="FY287" s="20"/>
      <c r="FZ287" s="20"/>
      <c r="GA287" s="20"/>
    </row>
    <row r="288" spans="1:183" ht="15" x14ac:dyDescent="0.25">
      <c r="A288" s="375" t="s">
        <v>303</v>
      </c>
      <c r="B288" s="375"/>
      <c r="C288" s="375"/>
      <c r="D288" s="375"/>
      <c r="E288" s="375"/>
      <c r="F288" s="375"/>
      <c r="G288" s="375"/>
      <c r="H288" s="375"/>
      <c r="I288" s="375"/>
      <c r="J288" s="232">
        <f>+J252+J289</f>
        <v>18800.5</v>
      </c>
      <c r="K288" s="232">
        <f>+J288*2</f>
        <v>37601</v>
      </c>
      <c r="L288"/>
      <c r="M288"/>
      <c r="N288"/>
      <c r="O288"/>
      <c r="P288"/>
      <c r="Q288" s="376"/>
      <c r="R288" s="376"/>
      <c r="S288" s="20"/>
      <c r="T288" s="20"/>
      <c r="U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20"/>
      <c r="DU288" s="20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  <c r="EP288" s="20"/>
      <c r="EQ288" s="20"/>
      <c r="ER288" s="20"/>
      <c r="ES288" s="20"/>
      <c r="ET288" s="20"/>
      <c r="EU288" s="20"/>
      <c r="EV288" s="20"/>
      <c r="EW288" s="20"/>
      <c r="EX288" s="20"/>
      <c r="EY288" s="20"/>
      <c r="EZ288" s="20"/>
      <c r="FA288" s="20"/>
      <c r="FB288" s="20"/>
      <c r="FC288" s="20"/>
      <c r="FD288" s="20"/>
      <c r="FE288" s="20"/>
      <c r="FF288" s="20"/>
      <c r="FG288" s="20"/>
      <c r="FH288" s="20"/>
      <c r="FI288" s="20"/>
      <c r="FJ288" s="20"/>
      <c r="FK288" s="20"/>
      <c r="FL288" s="20"/>
      <c r="FM288" s="20"/>
      <c r="FN288" s="20"/>
      <c r="FO288" s="20"/>
      <c r="FP288" s="20"/>
      <c r="FQ288" s="20"/>
      <c r="FR288" s="20"/>
      <c r="FS288" s="20"/>
      <c r="FT288" s="20"/>
      <c r="FU288" s="20"/>
      <c r="FV288" s="20"/>
      <c r="FW288" s="20"/>
      <c r="FX288" s="20"/>
      <c r="FY288" s="20"/>
      <c r="FZ288" s="20"/>
      <c r="GA288" s="20"/>
    </row>
    <row r="289" spans="1:183" ht="15" x14ac:dyDescent="0.25">
      <c r="A289" s="375" t="s">
        <v>304</v>
      </c>
      <c r="B289" s="375"/>
      <c r="C289" s="375"/>
      <c r="D289" s="375"/>
      <c r="E289" s="375"/>
      <c r="F289" s="375"/>
      <c r="G289" s="375"/>
      <c r="H289" s="375"/>
      <c r="I289" s="375"/>
      <c r="J289" s="232">
        <f>SUM(J280,J259)</f>
        <v>12800.5</v>
      </c>
      <c r="K289" s="232">
        <f>+J289*2</f>
        <v>25601</v>
      </c>
      <c r="L289"/>
      <c r="M289"/>
      <c r="N289"/>
      <c r="O289"/>
      <c r="P289"/>
      <c r="Q289" s="376"/>
      <c r="R289" s="376"/>
      <c r="S289" s="20"/>
      <c r="T289" s="20"/>
      <c r="U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20"/>
      <c r="DU289" s="20"/>
      <c r="DV289" s="20"/>
      <c r="DW289" s="20"/>
      <c r="DX289" s="20"/>
      <c r="DY289" s="20"/>
      <c r="DZ289" s="20"/>
      <c r="EA289" s="20"/>
      <c r="EB289" s="20"/>
      <c r="EC289" s="20"/>
      <c r="ED289" s="20"/>
      <c r="EE289" s="20"/>
      <c r="EF289" s="20"/>
      <c r="EG289" s="20"/>
      <c r="EH289" s="20"/>
      <c r="EI289" s="20"/>
      <c r="EJ289" s="20"/>
      <c r="EK289" s="20"/>
      <c r="EL289" s="20"/>
      <c r="EM289" s="20"/>
      <c r="EN289" s="20"/>
      <c r="EO289" s="20"/>
      <c r="EP289" s="20"/>
      <c r="EQ289" s="20"/>
      <c r="ER289" s="20"/>
      <c r="ES289" s="20"/>
      <c r="ET289" s="20"/>
      <c r="EU289" s="20"/>
      <c r="EV289" s="20"/>
      <c r="EW289" s="20"/>
      <c r="EX289" s="20"/>
      <c r="EY289" s="20"/>
      <c r="EZ289" s="20"/>
      <c r="FA289" s="20"/>
      <c r="FB289" s="20"/>
      <c r="FC289" s="20"/>
      <c r="FD289" s="20"/>
      <c r="FE289" s="20"/>
      <c r="FF289" s="20"/>
      <c r="FG289" s="20"/>
      <c r="FH289" s="20"/>
      <c r="FI289" s="20"/>
      <c r="FJ289" s="20"/>
      <c r="FK289" s="20"/>
      <c r="FL289" s="20"/>
      <c r="FM289" s="20"/>
      <c r="FN289" s="20"/>
      <c r="FO289" s="20"/>
      <c r="FP289" s="20"/>
      <c r="FQ289" s="20"/>
      <c r="FR289" s="20"/>
      <c r="FS289" s="20"/>
      <c r="FT289" s="20"/>
      <c r="FU289" s="20"/>
      <c r="FV289" s="20"/>
      <c r="FW289" s="20"/>
      <c r="FX289" s="20"/>
      <c r="FY289" s="20"/>
      <c r="FZ289" s="20"/>
      <c r="GA289" s="20"/>
    </row>
    <row r="290" spans="1:183" ht="15" x14ac:dyDescent="0.25">
      <c r="A290" s="106" t="s">
        <v>305</v>
      </c>
      <c r="B290" s="106"/>
      <c r="C290" s="106"/>
      <c r="D290" s="106"/>
      <c r="E290" s="106"/>
      <c r="F290" s="106"/>
      <c r="G290" s="106"/>
      <c r="H290" s="106"/>
      <c r="I290" s="106"/>
      <c r="J290" s="197">
        <f>+J289/J288</f>
        <v>0.68085955160766998</v>
      </c>
      <c r="K290" s="197">
        <f>+K289/K288</f>
        <v>0.68085955160766998</v>
      </c>
      <c r="L290"/>
      <c r="M290"/>
      <c r="N290"/>
      <c r="O290"/>
      <c r="P290"/>
      <c r="Q290" s="376"/>
      <c r="R290" s="376"/>
      <c r="S290" s="20"/>
      <c r="T290" s="20"/>
      <c r="U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  <c r="DK290" s="20"/>
      <c r="DL290" s="20"/>
      <c r="DM290" s="20"/>
      <c r="DN290" s="20"/>
      <c r="DO290" s="20"/>
      <c r="DP290" s="20"/>
      <c r="DQ290" s="20"/>
      <c r="DR290" s="20"/>
      <c r="DS290" s="20"/>
      <c r="DT290" s="20"/>
      <c r="DU290" s="20"/>
      <c r="DV290" s="20"/>
      <c r="DW290" s="20"/>
      <c r="DX290" s="20"/>
      <c r="DY290" s="20"/>
      <c r="DZ290" s="20"/>
      <c r="EA290" s="20"/>
      <c r="EB290" s="20"/>
      <c r="EC290" s="20"/>
      <c r="ED290" s="20"/>
      <c r="EE290" s="20"/>
      <c r="EF290" s="20"/>
      <c r="EG290" s="20"/>
      <c r="EH290" s="20"/>
      <c r="EI290" s="20"/>
      <c r="EJ290" s="20"/>
      <c r="EK290" s="20"/>
      <c r="EL290" s="20"/>
      <c r="EM290" s="20"/>
      <c r="EN290" s="20"/>
      <c r="EO290" s="20"/>
      <c r="EP290" s="20"/>
      <c r="EQ290" s="20"/>
      <c r="ER290" s="20"/>
      <c r="ES290" s="20"/>
      <c r="ET290" s="20"/>
      <c r="EU290" s="20"/>
      <c r="EV290" s="20"/>
      <c r="EW290" s="20"/>
      <c r="EX290" s="20"/>
      <c r="EY290" s="20"/>
      <c r="EZ290" s="20"/>
      <c r="FA290" s="20"/>
      <c r="FB290" s="20"/>
      <c r="FC290" s="20"/>
      <c r="FD290" s="20"/>
      <c r="FE290" s="20"/>
      <c r="FF290" s="20"/>
      <c r="FG290" s="20"/>
      <c r="FH290" s="20"/>
      <c r="FI290" s="20"/>
      <c r="FJ290" s="20"/>
      <c r="FK290" s="20"/>
      <c r="FL290" s="20"/>
      <c r="FM290" s="20"/>
      <c r="FN290" s="20"/>
      <c r="FO290" s="20"/>
      <c r="FP290" s="20"/>
      <c r="FQ290" s="20"/>
      <c r="FR290" s="20"/>
      <c r="FS290" s="20"/>
      <c r="FT290" s="20"/>
      <c r="FU290" s="20"/>
      <c r="FV290" s="20"/>
      <c r="FW290" s="20"/>
      <c r="FX290" s="20"/>
      <c r="FY290" s="20"/>
      <c r="FZ290" s="20"/>
      <c r="GA290" s="20"/>
    </row>
    <row r="291" spans="1:183" ht="15" x14ac:dyDescent="0.2">
      <c r="A291" s="353" t="s">
        <v>106</v>
      </c>
      <c r="B291" s="353"/>
      <c r="C291" s="353"/>
      <c r="D291" s="353"/>
      <c r="E291" s="353"/>
      <c r="F291" s="353"/>
      <c r="G291" s="353"/>
      <c r="H291" s="353"/>
      <c r="I291" s="353"/>
      <c r="J291" s="353"/>
      <c r="K291" s="353"/>
      <c r="L291" s="353"/>
      <c r="M291" s="353"/>
      <c r="N291" s="353"/>
      <c r="O291" s="20"/>
      <c r="P291" s="20"/>
      <c r="Q291" s="20"/>
      <c r="R291" s="20"/>
      <c r="S291" s="20"/>
      <c r="T291" s="20"/>
      <c r="U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  <c r="DH291" s="20"/>
      <c r="DI291" s="20"/>
      <c r="DJ291" s="20"/>
      <c r="DK291" s="20"/>
      <c r="DL291" s="20"/>
      <c r="DM291" s="20"/>
      <c r="DN291" s="20"/>
      <c r="DO291" s="20"/>
      <c r="DP291" s="20"/>
      <c r="DQ291" s="20"/>
      <c r="DR291" s="20"/>
      <c r="DS291" s="20"/>
      <c r="DT291" s="20"/>
      <c r="DU291" s="20"/>
      <c r="DV291" s="20"/>
      <c r="DW291" s="20"/>
      <c r="DX291" s="20"/>
      <c r="DY291" s="20"/>
      <c r="DZ291" s="20"/>
      <c r="EA291" s="20"/>
      <c r="EB291" s="20"/>
      <c r="EC291" s="20"/>
      <c r="ED291" s="20"/>
      <c r="EE291" s="20"/>
      <c r="EF291" s="20"/>
      <c r="EG291" s="20"/>
      <c r="EH291" s="20"/>
      <c r="EI291" s="20"/>
      <c r="EJ291" s="20"/>
      <c r="EK291" s="20"/>
      <c r="EL291" s="20"/>
      <c r="EM291" s="20"/>
      <c r="EN291" s="20"/>
      <c r="EO291" s="20"/>
      <c r="EP291" s="20"/>
      <c r="EQ291" s="20"/>
      <c r="ER291" s="20"/>
      <c r="ES291" s="20"/>
      <c r="ET291" s="20"/>
      <c r="EU291" s="20"/>
      <c r="EV291" s="20"/>
      <c r="EW291" s="20"/>
      <c r="EX291" s="20"/>
      <c r="EY291" s="20"/>
      <c r="EZ291" s="20"/>
      <c r="FA291" s="20"/>
      <c r="FB291" s="20"/>
      <c r="FC291" s="20"/>
      <c r="FD291" s="20"/>
      <c r="FE291" s="20"/>
      <c r="FF291" s="20"/>
      <c r="FG291" s="20"/>
      <c r="FH291" s="20"/>
      <c r="FI291" s="20"/>
      <c r="FJ291" s="20"/>
      <c r="FK291" s="20"/>
      <c r="FL291" s="20"/>
      <c r="FM291" s="20"/>
      <c r="FN291" s="20"/>
      <c r="FO291" s="20"/>
      <c r="FP291" s="20"/>
      <c r="FQ291" s="20"/>
      <c r="FR291" s="20"/>
      <c r="FS291" s="20"/>
      <c r="FT291" s="20"/>
      <c r="FU291" s="20"/>
      <c r="FV291" s="20"/>
      <c r="FW291" s="20"/>
      <c r="FX291" s="20"/>
      <c r="FY291" s="20"/>
      <c r="FZ291" s="20"/>
      <c r="GA291" s="20"/>
    </row>
    <row r="292" spans="1:183" x14ac:dyDescent="0.2">
      <c r="A292" s="377" t="s">
        <v>306</v>
      </c>
      <c r="B292" s="378"/>
      <c r="C292" s="378"/>
      <c r="D292" s="378"/>
      <c r="E292" s="378"/>
      <c r="F292" s="378"/>
      <c r="G292" s="378"/>
      <c r="H292" s="378"/>
      <c r="I292" s="378"/>
      <c r="J292" s="379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/>
      <c r="DJ292" s="20"/>
      <c r="DK292" s="20"/>
      <c r="DL292" s="20"/>
      <c r="DM292" s="20"/>
      <c r="DN292" s="20"/>
      <c r="DO292" s="20"/>
      <c r="DP292" s="20"/>
      <c r="DQ292" s="20"/>
      <c r="DR292" s="20"/>
      <c r="DS292" s="20"/>
      <c r="DT292" s="20"/>
      <c r="DU292" s="20"/>
      <c r="DV292" s="20"/>
      <c r="DW292" s="20"/>
      <c r="DX292" s="20"/>
      <c r="DY292" s="20"/>
      <c r="DZ292" s="20"/>
      <c r="EA292" s="20"/>
      <c r="EB292" s="20"/>
      <c r="EC292" s="20"/>
      <c r="ED292" s="20"/>
      <c r="EE292" s="20"/>
      <c r="EF292" s="20"/>
      <c r="EG292" s="20"/>
      <c r="EH292" s="20"/>
      <c r="EI292" s="20"/>
      <c r="EJ292" s="20"/>
      <c r="EK292" s="20"/>
      <c r="EL292" s="20"/>
      <c r="EM292" s="20"/>
      <c r="EN292" s="20"/>
      <c r="EO292" s="20"/>
      <c r="EP292" s="20"/>
      <c r="EQ292" s="20"/>
      <c r="ER292" s="20"/>
      <c r="ES292" s="20"/>
      <c r="ET292" s="20"/>
      <c r="EU292" s="20"/>
      <c r="EV292" s="20"/>
      <c r="EW292" s="20"/>
      <c r="EX292" s="20"/>
      <c r="EY292" s="20"/>
      <c r="EZ292" s="20"/>
      <c r="FA292" s="20"/>
      <c r="FB292" s="20"/>
      <c r="FC292" s="20"/>
      <c r="FD292" s="20"/>
      <c r="FE292" s="20"/>
      <c r="FF292" s="20"/>
      <c r="FG292" s="20"/>
      <c r="FH292" s="20"/>
      <c r="FI292" s="20"/>
      <c r="FJ292" s="20"/>
      <c r="FK292" s="20"/>
      <c r="FL292" s="20"/>
      <c r="FM292" s="20"/>
      <c r="FN292" s="20"/>
      <c r="FO292" s="20"/>
      <c r="FP292" s="20"/>
      <c r="FQ292" s="20"/>
      <c r="FR292" s="20"/>
      <c r="FS292" s="20"/>
      <c r="FT292" s="20"/>
      <c r="FU292" s="20"/>
      <c r="FV292" s="20"/>
      <c r="FW292" s="20"/>
      <c r="FX292" s="20"/>
      <c r="FY292" s="20"/>
      <c r="FZ292" s="20"/>
      <c r="GA292" s="20"/>
    </row>
    <row r="293" spans="1:183" x14ac:dyDescent="0.2">
      <c r="A293" s="380"/>
      <c r="B293" s="376"/>
      <c r="C293" s="376"/>
      <c r="D293" s="376"/>
      <c r="E293" s="376"/>
      <c r="F293" s="376"/>
      <c r="G293" s="376"/>
      <c r="H293" s="376"/>
      <c r="I293" s="376"/>
      <c r="J293" s="381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  <c r="DK293" s="20"/>
      <c r="DL293" s="20"/>
      <c r="DM293" s="20"/>
      <c r="DN293" s="20"/>
      <c r="DO293" s="20"/>
      <c r="DP293" s="20"/>
      <c r="DQ293" s="20"/>
      <c r="DR293" s="20"/>
      <c r="DS293" s="20"/>
      <c r="DT293" s="20"/>
      <c r="DU293" s="20"/>
      <c r="DV293" s="20"/>
      <c r="DW293" s="20"/>
      <c r="DX293" s="20"/>
      <c r="DY293" s="20"/>
      <c r="DZ293" s="20"/>
      <c r="EA293" s="20"/>
      <c r="EB293" s="20"/>
      <c r="EC293" s="20"/>
      <c r="ED293" s="20"/>
      <c r="EE293" s="20"/>
      <c r="EF293" s="20"/>
      <c r="EG293" s="20"/>
      <c r="EH293" s="20"/>
      <c r="EI293" s="20"/>
      <c r="EJ293" s="20"/>
      <c r="EK293" s="20"/>
      <c r="EL293" s="20"/>
      <c r="EM293" s="20"/>
      <c r="EN293" s="20"/>
      <c r="EO293" s="20"/>
      <c r="EP293" s="20"/>
      <c r="EQ293" s="20"/>
      <c r="ER293" s="20"/>
      <c r="ES293" s="20"/>
      <c r="ET293" s="20"/>
      <c r="EU293" s="20"/>
      <c r="EV293" s="20"/>
      <c r="EW293" s="20"/>
      <c r="EX293" s="20"/>
      <c r="EY293" s="20"/>
      <c r="EZ293" s="20"/>
      <c r="FA293" s="20"/>
      <c r="FB293" s="20"/>
      <c r="FC293" s="20"/>
      <c r="FD293" s="20"/>
      <c r="FE293" s="20"/>
      <c r="FF293" s="20"/>
      <c r="FG293" s="20"/>
      <c r="FH293" s="20"/>
      <c r="FI293" s="20"/>
      <c r="FJ293" s="20"/>
      <c r="FK293" s="20"/>
      <c r="FL293" s="20"/>
      <c r="FM293" s="20"/>
      <c r="FN293" s="20"/>
      <c r="FO293" s="20"/>
      <c r="FP293" s="20"/>
      <c r="FQ293" s="20"/>
      <c r="FR293" s="20"/>
      <c r="FS293" s="20"/>
      <c r="FT293" s="20"/>
      <c r="FU293" s="20"/>
      <c r="FV293" s="20"/>
      <c r="FW293" s="20"/>
      <c r="FX293" s="20"/>
      <c r="FY293" s="20"/>
      <c r="FZ293" s="20"/>
      <c r="GA293" s="20"/>
    </row>
    <row r="294" spans="1:183" x14ac:dyDescent="0.2">
      <c r="A294" s="382"/>
      <c r="B294" s="383"/>
      <c r="C294" s="383"/>
      <c r="D294" s="383"/>
      <c r="E294" s="383"/>
      <c r="F294" s="383"/>
      <c r="G294" s="383"/>
      <c r="H294" s="383"/>
      <c r="I294" s="383"/>
      <c r="J294" s="384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  <c r="DF294" s="20"/>
      <c r="DG294" s="20"/>
      <c r="DH294" s="20"/>
      <c r="DI294" s="20"/>
      <c r="DJ294" s="20"/>
      <c r="DK294" s="20"/>
      <c r="DL294" s="20"/>
      <c r="DM294" s="20"/>
      <c r="DN294" s="20"/>
      <c r="DO294" s="20"/>
      <c r="DP294" s="20"/>
      <c r="DQ294" s="20"/>
      <c r="DR294" s="20"/>
      <c r="DS294" s="20"/>
      <c r="DT294" s="20"/>
      <c r="DU294" s="20"/>
      <c r="DV294" s="20"/>
      <c r="DW294" s="20"/>
      <c r="DX294" s="20"/>
      <c r="DY294" s="20"/>
      <c r="DZ294" s="20"/>
      <c r="EA294" s="20"/>
      <c r="EB294" s="20"/>
      <c r="EC294" s="20"/>
      <c r="ED294" s="20"/>
      <c r="EE294" s="20"/>
      <c r="EF294" s="20"/>
      <c r="EG294" s="20"/>
      <c r="EH294" s="20"/>
      <c r="EI294" s="20"/>
      <c r="EJ294" s="20"/>
      <c r="EK294" s="20"/>
      <c r="EL294" s="20"/>
      <c r="EM294" s="20"/>
      <c r="EN294" s="20"/>
      <c r="EO294" s="20"/>
      <c r="EP294" s="20"/>
      <c r="EQ294" s="20"/>
      <c r="ER294" s="20"/>
      <c r="ES294" s="20"/>
      <c r="ET294" s="20"/>
      <c r="EU294" s="20"/>
      <c r="EV294" s="20"/>
      <c r="EW294" s="20"/>
      <c r="EX294" s="20"/>
      <c r="EY294" s="20"/>
      <c r="EZ294" s="20"/>
      <c r="FA294" s="20"/>
      <c r="FB294" s="20"/>
      <c r="FC294" s="20"/>
      <c r="FD294" s="20"/>
      <c r="FE294" s="20"/>
      <c r="FF294" s="20"/>
      <c r="FG294" s="20"/>
      <c r="FH294" s="20"/>
      <c r="FI294" s="20"/>
      <c r="FJ294" s="20"/>
      <c r="FK294" s="20"/>
      <c r="FL294" s="20"/>
      <c r="FM294" s="20"/>
      <c r="FN294" s="20"/>
      <c r="FO294" s="20"/>
      <c r="FP294" s="20"/>
      <c r="FQ294" s="20"/>
      <c r="FR294" s="20"/>
      <c r="FS294" s="20"/>
      <c r="FT294" s="20"/>
      <c r="FU294" s="20"/>
      <c r="FV294" s="20"/>
      <c r="FW294" s="20"/>
      <c r="FX294" s="20"/>
      <c r="FY294" s="20"/>
      <c r="FZ294" s="20"/>
      <c r="GA294" s="20"/>
    </row>
    <row r="295" spans="1:183" ht="15" x14ac:dyDescent="0.2">
      <c r="A295" s="357" t="s">
        <v>307</v>
      </c>
      <c r="B295" s="358"/>
      <c r="C295" s="358"/>
      <c r="D295" s="358"/>
      <c r="E295" s="358"/>
      <c r="F295" s="358"/>
      <c r="G295" s="358"/>
      <c r="H295" s="358"/>
      <c r="I295" s="359"/>
      <c r="J295" s="20"/>
      <c r="K295" s="20"/>
      <c r="L295" s="20"/>
      <c r="M295" s="20"/>
      <c r="N295" s="20"/>
      <c r="O295" s="20"/>
      <c r="P295" s="20"/>
      <c r="Q295" s="20"/>
      <c r="R295" s="21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/>
      <c r="DD295" s="20"/>
      <c r="DE295" s="20"/>
      <c r="DF295" s="20"/>
      <c r="DG295" s="20"/>
      <c r="DH295" s="20"/>
      <c r="DI295" s="20"/>
      <c r="DJ295" s="20"/>
      <c r="DK295" s="20"/>
      <c r="DL295" s="20"/>
      <c r="DM295" s="20"/>
      <c r="DN295" s="20"/>
      <c r="DO295" s="20"/>
      <c r="DP295" s="20"/>
      <c r="DQ295" s="20"/>
      <c r="DR295" s="20"/>
      <c r="DS295" s="20"/>
      <c r="DT295" s="20"/>
      <c r="DU295" s="20"/>
      <c r="DV295" s="20"/>
      <c r="DW295" s="20"/>
      <c r="DX295" s="20"/>
      <c r="DY295" s="20"/>
      <c r="DZ295" s="20"/>
      <c r="EA295" s="20"/>
      <c r="EB295" s="20"/>
      <c r="EC295" s="20"/>
      <c r="ED295" s="20"/>
      <c r="EE295" s="20"/>
      <c r="EF295" s="20"/>
      <c r="EG295" s="20"/>
      <c r="EH295" s="20"/>
      <c r="EI295" s="20"/>
      <c r="EJ295" s="20"/>
      <c r="EK295" s="20"/>
      <c r="EL295" s="20"/>
      <c r="EM295" s="20"/>
      <c r="EN295" s="20"/>
      <c r="EO295" s="20"/>
      <c r="EP295" s="20"/>
      <c r="EQ295" s="20"/>
      <c r="ER295" s="20"/>
      <c r="ES295" s="20"/>
      <c r="ET295" s="20"/>
      <c r="EU295" s="20"/>
      <c r="EV295" s="20"/>
      <c r="EW295" s="20"/>
      <c r="EX295" s="20"/>
      <c r="EY295" s="20"/>
      <c r="EZ295" s="20"/>
      <c r="FA295" s="20"/>
      <c r="FB295" s="20"/>
      <c r="FC295" s="20"/>
      <c r="FD295" s="20"/>
      <c r="FE295" s="20"/>
      <c r="FF295" s="20"/>
      <c r="FG295" s="20"/>
      <c r="FH295" s="20"/>
      <c r="FI295" s="20"/>
      <c r="FJ295" s="20"/>
      <c r="FK295" s="20"/>
      <c r="FL295" s="20"/>
      <c r="FM295" s="20"/>
      <c r="FN295" s="20"/>
      <c r="FO295" s="20"/>
      <c r="FP295" s="20"/>
      <c r="FQ295" s="20"/>
      <c r="FR295" s="20"/>
      <c r="FS295" s="20"/>
      <c r="FT295" s="20"/>
      <c r="FU295" s="20"/>
      <c r="FV295" s="20"/>
      <c r="FW295" s="20"/>
      <c r="FX295" s="20"/>
      <c r="FY295" s="20"/>
      <c r="FZ295" s="20"/>
      <c r="GA295" s="20"/>
    </row>
    <row r="297" spans="1:183" ht="15.75" thickBot="1" x14ac:dyDescent="0.3">
      <c r="B297" s="385"/>
      <c r="C297" s="109"/>
      <c r="D297" s="386" t="s">
        <v>308</v>
      </c>
      <c r="E297" s="387" t="s">
        <v>309</v>
      </c>
      <c r="F297"/>
    </row>
    <row r="298" spans="1:183" ht="15" x14ac:dyDescent="0.25">
      <c r="A298" s="388" t="s">
        <v>310</v>
      </c>
      <c r="B298" s="389"/>
      <c r="C298" s="109" t="s">
        <v>311</v>
      </c>
      <c r="D298" s="390">
        <v>6.08E-2</v>
      </c>
      <c r="E298" s="390">
        <v>5.8900000000000001E-2</v>
      </c>
      <c r="F298"/>
      <c r="G298"/>
    </row>
    <row r="299" spans="1:183" x14ac:dyDescent="0.2">
      <c r="A299" s="391" t="s">
        <v>312</v>
      </c>
      <c r="B299" s="392">
        <f>+K302</f>
        <v>-8.3333333333333332E-3</v>
      </c>
      <c r="C299" s="393" t="s">
        <v>313</v>
      </c>
      <c r="D299" s="394">
        <v>0.1234</v>
      </c>
      <c r="E299" s="395">
        <v>0.1076</v>
      </c>
      <c r="F299" s="109" t="s">
        <v>314</v>
      </c>
      <c r="G299" s="109" t="s">
        <v>315</v>
      </c>
      <c r="H299" s="109" t="s">
        <v>316</v>
      </c>
      <c r="I299" s="109" t="s">
        <v>317</v>
      </c>
      <c r="J299" s="109" t="s">
        <v>318</v>
      </c>
      <c r="K299" s="109" t="s">
        <v>319</v>
      </c>
    </row>
    <row r="300" spans="1:183" ht="28.5" x14ac:dyDescent="0.2">
      <c r="A300" s="391" t="s">
        <v>320</v>
      </c>
      <c r="B300" s="396"/>
      <c r="C300" s="397" t="s">
        <v>321</v>
      </c>
      <c r="D300" s="398">
        <v>4.0800000000000003E-2</v>
      </c>
      <c r="E300" s="399">
        <v>4.6699999999999998E-2</v>
      </c>
      <c r="F300" s="109" t="s">
        <v>311</v>
      </c>
      <c r="G300" s="400">
        <v>3.15E-2</v>
      </c>
      <c r="H300" s="400">
        <v>3.5400000000000001E-2</v>
      </c>
      <c r="I300" s="400">
        <v>3.7600000000000001E-2</v>
      </c>
      <c r="J300" s="214">
        <f>+AVERAGE(G300:I300)</f>
        <v>3.4833333333333334E-2</v>
      </c>
      <c r="K300" s="400">
        <f>((I300-G300)/G300)/100</f>
        <v>1.9365079365079368E-3</v>
      </c>
    </row>
    <row r="301" spans="1:183" ht="28.5" x14ac:dyDescent="0.2">
      <c r="A301" s="391" t="s">
        <v>322</v>
      </c>
      <c r="B301" s="401"/>
      <c r="C301" s="402" t="s">
        <v>323</v>
      </c>
      <c r="D301" s="403"/>
      <c r="F301" s="109" t="s">
        <v>313</v>
      </c>
      <c r="G301" s="400">
        <v>1.15E-2</v>
      </c>
      <c r="H301" s="400">
        <v>2.63E-2</v>
      </c>
      <c r="I301" s="400">
        <v>3.4299999999999997E-2</v>
      </c>
      <c r="J301" s="214">
        <f t="shared" ref="J301" si="32">+AVERAGE(G301:I301)</f>
        <v>2.4033333333333334E-2</v>
      </c>
      <c r="K301" s="400">
        <f t="shared" ref="K301" si="33">((I301-G301)/G301)/100</f>
        <v>1.9826086956521737E-2</v>
      </c>
    </row>
    <row r="302" spans="1:183" ht="15" x14ac:dyDescent="0.25">
      <c r="A302" s="391" t="s">
        <v>324</v>
      </c>
      <c r="B302" s="404">
        <f>((1+B300)/(1+B299))-1</f>
        <v>8.4033613445377853E-3</v>
      </c>
      <c r="C302"/>
      <c r="D302" s="403"/>
      <c r="E302" s="402"/>
      <c r="F302" s="109" t="s">
        <v>194</v>
      </c>
      <c r="G302" s="400">
        <v>3.9600000000000003E-2</v>
      </c>
      <c r="H302" s="400">
        <v>2.64E-2</v>
      </c>
      <c r="I302" s="400">
        <v>6.6E-3</v>
      </c>
      <c r="J302" s="214">
        <f>+AVERAGE(G302:I302)</f>
        <v>2.4199999999999999E-2</v>
      </c>
      <c r="K302" s="400">
        <f>((I302-G302)/G302)/100</f>
        <v>-8.3333333333333332E-3</v>
      </c>
    </row>
    <row r="303" spans="1:183" ht="15.75" thickBot="1" x14ac:dyDescent="0.3">
      <c r="A303" s="391"/>
      <c r="B303" s="401"/>
      <c r="C303" s="405"/>
      <c r="D303" s="403"/>
      <c r="E303" s="402"/>
      <c r="F303"/>
      <c r="G303"/>
      <c r="H303"/>
      <c r="I303"/>
      <c r="J303"/>
      <c r="K303"/>
    </row>
    <row r="304" spans="1:183" ht="28.5" x14ac:dyDescent="0.2">
      <c r="A304" s="406" t="s">
        <v>325</v>
      </c>
      <c r="B304" s="407" t="s">
        <v>326</v>
      </c>
      <c r="C304" s="408">
        <f>+F207</f>
        <v>1500</v>
      </c>
      <c r="D304" s="409" t="s">
        <v>327</v>
      </c>
      <c r="E304" s="410" t="s">
        <v>328</v>
      </c>
    </row>
    <row r="305" spans="1:5" ht="43.5" thickBot="1" x14ac:dyDescent="0.25">
      <c r="A305" s="411" t="s">
        <v>329</v>
      </c>
      <c r="B305" s="412" t="s">
        <v>330</v>
      </c>
      <c r="C305" s="413">
        <v>0</v>
      </c>
      <c r="D305" s="414" t="s">
        <v>331</v>
      </c>
      <c r="E305" s="415">
        <f>B302</f>
        <v>8.4033613445377853E-3</v>
      </c>
    </row>
    <row r="306" spans="1:5" ht="43.5" thickBot="1" x14ac:dyDescent="0.25">
      <c r="A306" s="411" t="s">
        <v>332</v>
      </c>
      <c r="B306" s="412"/>
      <c r="C306" s="413">
        <v>0.02</v>
      </c>
      <c r="D306" s="414" t="s">
        <v>331</v>
      </c>
      <c r="E306" s="416">
        <f>B302+C306</f>
        <v>2.8403361344537786E-2</v>
      </c>
    </row>
    <row r="307" spans="1:5" ht="43.5" thickBot="1" x14ac:dyDescent="0.25">
      <c r="A307" s="411" t="s">
        <v>333</v>
      </c>
      <c r="B307" s="412"/>
      <c r="C307" s="413">
        <v>0.02</v>
      </c>
      <c r="D307" s="414" t="s">
        <v>331</v>
      </c>
      <c r="E307" s="416">
        <f>B302+C307</f>
        <v>2.8403361344537786E-2</v>
      </c>
    </row>
    <row r="308" spans="1:5" ht="29.25" thickBot="1" x14ac:dyDescent="0.25">
      <c r="A308" s="411" t="s">
        <v>334</v>
      </c>
      <c r="B308" s="417"/>
      <c r="C308" s="413">
        <v>0.04</v>
      </c>
      <c r="D308" s="414" t="s">
        <v>335</v>
      </c>
      <c r="E308" s="418">
        <f>((1+B301)/(1+B299)-1)+C308</f>
        <v>4.8403361344537786E-2</v>
      </c>
    </row>
    <row r="309" spans="1:5" ht="15" x14ac:dyDescent="0.25">
      <c r="B309" s="389"/>
    </row>
    <row r="310" spans="1:5" ht="15" x14ac:dyDescent="0.2">
      <c r="A310" s="419" t="s">
        <v>336</v>
      </c>
      <c r="B310" s="419" t="s">
        <v>337</v>
      </c>
      <c r="C310" s="419" t="s">
        <v>203</v>
      </c>
    </row>
    <row r="311" spans="1:5" x14ac:dyDescent="0.2">
      <c r="A311" s="420" t="s">
        <v>338</v>
      </c>
      <c r="B311" s="421">
        <f>G198</f>
        <v>3090.5</v>
      </c>
      <c r="C311" s="421">
        <f>+B311*2</f>
        <v>6181</v>
      </c>
    </row>
    <row r="312" spans="1:5" x14ac:dyDescent="0.2">
      <c r="A312" s="420" t="s">
        <v>339</v>
      </c>
      <c r="B312" s="421">
        <f>J239</f>
        <v>5100</v>
      </c>
      <c r="C312" s="421">
        <f>+B312*2</f>
        <v>10200</v>
      </c>
    </row>
    <row r="313" spans="1:5" ht="28.5" x14ac:dyDescent="0.2">
      <c r="A313" s="420" t="s">
        <v>340</v>
      </c>
      <c r="B313" s="421">
        <f>F219</f>
        <v>80</v>
      </c>
      <c r="C313" s="421">
        <f>+B313</f>
        <v>80</v>
      </c>
    </row>
    <row r="314" spans="1:5" ht="42.75" x14ac:dyDescent="0.2">
      <c r="A314" s="420" t="s">
        <v>341</v>
      </c>
      <c r="B314" s="421">
        <f>+F209-F207</f>
        <v>150</v>
      </c>
      <c r="C314" s="421">
        <f>+B314</f>
        <v>150</v>
      </c>
    </row>
    <row r="315" spans="1:5" x14ac:dyDescent="0.2">
      <c r="A315" s="420" t="s">
        <v>342</v>
      </c>
      <c r="B315" s="421">
        <f>F171</f>
        <v>90</v>
      </c>
      <c r="C315" s="421">
        <f>+B315</f>
        <v>90</v>
      </c>
    </row>
    <row r="316" spans="1:5" ht="15" x14ac:dyDescent="0.2">
      <c r="A316" s="422" t="s">
        <v>99</v>
      </c>
      <c r="B316" s="423">
        <f>SUM(B311:B315)</f>
        <v>8510.5</v>
      </c>
      <c r="C316" s="423">
        <f>SUM(C311:C315)</f>
        <v>16701</v>
      </c>
    </row>
    <row r="317" spans="1:5" ht="15" x14ac:dyDescent="0.2">
      <c r="A317" s="422" t="s">
        <v>343</v>
      </c>
      <c r="B317" s="424">
        <f>B316/12</f>
        <v>709.20833333333337</v>
      </c>
      <c r="C317" s="424">
        <f>C316/12</f>
        <v>1391.75</v>
      </c>
    </row>
    <row r="318" spans="1:5" ht="15" thickBot="1" x14ac:dyDescent="0.25"/>
    <row r="319" spans="1:5" ht="45" x14ac:dyDescent="0.2">
      <c r="A319" s="425"/>
      <c r="B319" s="425" t="s">
        <v>344</v>
      </c>
      <c r="C319" s="425" t="s">
        <v>345</v>
      </c>
      <c r="D319" s="426" t="s">
        <v>346</v>
      </c>
      <c r="E319" s="426" t="s">
        <v>203</v>
      </c>
    </row>
    <row r="320" spans="1:5" ht="15" thickBot="1" x14ac:dyDescent="0.25">
      <c r="A320" s="427" t="s">
        <v>336</v>
      </c>
      <c r="B320" s="428">
        <f>B317</f>
        <v>709.20833333333337</v>
      </c>
      <c r="C320" s="429">
        <f>E308</f>
        <v>4.8403361344537786E-2</v>
      </c>
      <c r="D320" s="430">
        <f>B320*C320</f>
        <v>34.328067226890738</v>
      </c>
      <c r="E320" s="430">
        <f>+C317*C320</f>
        <v>67.365378151260458</v>
      </c>
    </row>
    <row r="321" spans="1:9" ht="15.75" thickBot="1" x14ac:dyDescent="0.3">
      <c r="A321" s="431" t="s">
        <v>99</v>
      </c>
      <c r="B321" s="432">
        <f>SUM(B320:B320)</f>
        <v>709.20833333333337</v>
      </c>
      <c r="C321" s="432"/>
      <c r="D321" s="433">
        <f>SUM(D320:D320)</f>
        <v>34.328067226890738</v>
      </c>
      <c r="E321" s="433">
        <f>+E320</f>
        <v>67.365378151260458</v>
      </c>
    </row>
    <row r="323" spans="1:9" ht="15.75" customHeight="1" thickBot="1" x14ac:dyDescent="0.25">
      <c r="A323" s="434" t="s">
        <v>347</v>
      </c>
      <c r="B323" s="435"/>
      <c r="C323" s="435"/>
      <c r="D323" s="435"/>
      <c r="F323" s="434" t="s">
        <v>348</v>
      </c>
      <c r="G323" s="435"/>
      <c r="H323" s="435"/>
      <c r="I323" s="435"/>
    </row>
    <row r="324" spans="1:9" ht="42.75" customHeight="1" thickBot="1" x14ac:dyDescent="0.3">
      <c r="A324" s="436" t="s">
        <v>349</v>
      </c>
      <c r="B324" s="437"/>
      <c r="C324" s="437"/>
      <c r="D324" s="438"/>
      <c r="F324" s="436" t="s">
        <v>350</v>
      </c>
      <c r="G324" s="437"/>
      <c r="H324" s="437"/>
      <c r="I324" s="438"/>
    </row>
    <row r="325" spans="1:9" ht="15" x14ac:dyDescent="0.25">
      <c r="A325" s="439" t="s">
        <v>351</v>
      </c>
      <c r="B325" s="440" t="s">
        <v>352</v>
      </c>
      <c r="C325" s="440" t="s">
        <v>353</v>
      </c>
      <c r="D325" s="441" t="s">
        <v>354</v>
      </c>
      <c r="F325" s="439" t="str">
        <f>+A325</f>
        <v>Beneficios</v>
      </c>
      <c r="G325" s="440" t="s">
        <v>352</v>
      </c>
      <c r="H325" s="440" t="s">
        <v>353</v>
      </c>
      <c r="I325" s="441" t="s">
        <v>354</v>
      </c>
    </row>
    <row r="326" spans="1:9" ht="28.5" x14ac:dyDescent="0.2">
      <c r="A326" s="442" t="s">
        <v>355</v>
      </c>
      <c r="B326" s="443">
        <f>+J252</f>
        <v>6000</v>
      </c>
      <c r="C326" s="443">
        <f>+B326</f>
        <v>6000</v>
      </c>
      <c r="D326" s="444">
        <f>+C326</f>
        <v>6000</v>
      </c>
      <c r="E326" s="21"/>
      <c r="F326" s="442" t="s">
        <v>355</v>
      </c>
      <c r="G326" s="443">
        <f>+K252</f>
        <v>12000</v>
      </c>
      <c r="H326" s="443">
        <f>+G326</f>
        <v>12000</v>
      </c>
      <c r="I326" s="444">
        <f>+H326</f>
        <v>12000</v>
      </c>
    </row>
    <row r="327" spans="1:9" ht="42.75" x14ac:dyDescent="0.2">
      <c r="A327" s="442" t="s">
        <v>356</v>
      </c>
      <c r="B327" s="443">
        <f>+D327</f>
        <v>12800.5</v>
      </c>
      <c r="C327" s="443">
        <f>+D327</f>
        <v>12800.5</v>
      </c>
      <c r="D327" s="444">
        <f>+J289</f>
        <v>12800.5</v>
      </c>
      <c r="E327" s="21"/>
      <c r="F327" s="442" t="s">
        <v>356</v>
      </c>
      <c r="G327" s="443">
        <f>+I327</f>
        <v>25601</v>
      </c>
      <c r="H327" s="443">
        <f>+I327</f>
        <v>25601</v>
      </c>
      <c r="I327" s="444">
        <f>+K289</f>
        <v>25601</v>
      </c>
    </row>
    <row r="328" spans="1:9" ht="28.5" x14ac:dyDescent="0.2">
      <c r="A328" s="442" t="s">
        <v>357</v>
      </c>
      <c r="B328" s="445">
        <v>0</v>
      </c>
      <c r="C328" s="445">
        <f>+B328</f>
        <v>0</v>
      </c>
      <c r="D328" s="446">
        <v>0</v>
      </c>
      <c r="E328" s="21"/>
      <c r="F328" s="442" t="s">
        <v>357</v>
      </c>
      <c r="G328" s="445">
        <v>0</v>
      </c>
      <c r="H328" s="445">
        <f>+G328</f>
        <v>0</v>
      </c>
      <c r="I328" s="446">
        <v>0</v>
      </c>
    </row>
    <row r="329" spans="1:9" x14ac:dyDescent="0.2">
      <c r="A329" s="447" t="s">
        <v>358</v>
      </c>
      <c r="B329" s="448">
        <f>SUM(B326:B328)</f>
        <v>18800.5</v>
      </c>
      <c r="C329" s="448">
        <f t="shared" ref="C329" si="34">SUM(C326:C328)</f>
        <v>18800.5</v>
      </c>
      <c r="D329" s="449">
        <f>SUM(D326:D328)</f>
        <v>18800.5</v>
      </c>
      <c r="E329" s="21"/>
      <c r="F329" s="447" t="s">
        <v>358</v>
      </c>
      <c r="G329" s="448">
        <f>SUM(G326:G328)</f>
        <v>37601</v>
      </c>
      <c r="H329" s="448">
        <f t="shared" ref="H329" si="35">SUM(H326:H328)</f>
        <v>37601</v>
      </c>
      <c r="I329" s="449">
        <f>SUM(I326:I328)</f>
        <v>37601</v>
      </c>
    </row>
    <row r="330" spans="1:9" x14ac:dyDescent="0.2">
      <c r="A330" s="450"/>
      <c r="B330" s="21"/>
      <c r="C330" s="21"/>
      <c r="D330" s="451"/>
      <c r="E330" s="21"/>
      <c r="F330" s="450"/>
      <c r="G330" s="21"/>
      <c r="H330" s="21"/>
      <c r="I330" s="451"/>
    </row>
    <row r="331" spans="1:9" ht="15" x14ac:dyDescent="0.2">
      <c r="A331" s="452" t="s">
        <v>359</v>
      </c>
      <c r="B331" s="453" t="s">
        <v>352</v>
      </c>
      <c r="C331" s="453" t="s">
        <v>353</v>
      </c>
      <c r="D331" s="454" t="s">
        <v>354</v>
      </c>
      <c r="E331" s="21"/>
      <c r="F331" s="452" t="s">
        <v>359</v>
      </c>
      <c r="G331" s="453" t="s">
        <v>352</v>
      </c>
      <c r="H331" s="453" t="s">
        <v>353</v>
      </c>
      <c r="I331" s="454" t="s">
        <v>354</v>
      </c>
    </row>
    <row r="332" spans="1:9" x14ac:dyDescent="0.2">
      <c r="A332" s="455" t="s">
        <v>338</v>
      </c>
      <c r="B332" s="443">
        <f>B311</f>
        <v>3090.5</v>
      </c>
      <c r="C332" s="445">
        <f>+B332</f>
        <v>3090.5</v>
      </c>
      <c r="D332" s="446">
        <f>+C332</f>
        <v>3090.5</v>
      </c>
      <c r="E332" s="21"/>
      <c r="F332" s="455" t="s">
        <v>338</v>
      </c>
      <c r="G332" s="443">
        <f>+C311</f>
        <v>6181</v>
      </c>
      <c r="H332" s="445">
        <f>+G332</f>
        <v>6181</v>
      </c>
      <c r="I332" s="446">
        <f>+H332</f>
        <v>6181</v>
      </c>
    </row>
    <row r="333" spans="1:9" x14ac:dyDescent="0.2">
      <c r="A333" s="456" t="s">
        <v>339</v>
      </c>
      <c r="B333" s="457">
        <f>B312</f>
        <v>5100</v>
      </c>
      <c r="C333" s="445">
        <f t="shared" ref="C333:D337" si="36">B333</f>
        <v>5100</v>
      </c>
      <c r="D333" s="446">
        <f t="shared" si="36"/>
        <v>5100</v>
      </c>
      <c r="E333" s="21"/>
      <c r="F333" s="456" t="s">
        <v>339</v>
      </c>
      <c r="G333" s="457">
        <f>+C312</f>
        <v>10200</v>
      </c>
      <c r="H333" s="445">
        <f t="shared" ref="H333:I334" si="37">G333</f>
        <v>10200</v>
      </c>
      <c r="I333" s="446">
        <f t="shared" si="37"/>
        <v>10200</v>
      </c>
    </row>
    <row r="334" spans="1:9" ht="28.5" x14ac:dyDescent="0.2">
      <c r="A334" s="456" t="str">
        <f>A313</f>
        <v>Costos de transacción (fletes)</v>
      </c>
      <c r="B334" s="458">
        <f>B313</f>
        <v>80</v>
      </c>
      <c r="C334" s="445">
        <f t="shared" si="36"/>
        <v>80</v>
      </c>
      <c r="D334" s="446">
        <f t="shared" si="36"/>
        <v>80</v>
      </c>
      <c r="E334" s="21"/>
      <c r="F334" s="456" t="str">
        <f>+A334</f>
        <v>Costos de transacción (fletes)</v>
      </c>
      <c r="G334" s="458">
        <f>+C313</f>
        <v>80</v>
      </c>
      <c r="H334" s="445">
        <f t="shared" si="37"/>
        <v>80</v>
      </c>
      <c r="I334" s="446">
        <f t="shared" si="37"/>
        <v>80</v>
      </c>
    </row>
    <row r="335" spans="1:9" ht="42.75" x14ac:dyDescent="0.2">
      <c r="A335" s="456" t="s">
        <v>341</v>
      </c>
      <c r="B335" s="445">
        <f>B314</f>
        <v>150</v>
      </c>
      <c r="C335" s="445">
        <f>B335</f>
        <v>150</v>
      </c>
      <c r="D335" s="446">
        <f>C335</f>
        <v>150</v>
      </c>
      <c r="E335" s="21"/>
      <c r="F335" s="456" t="s">
        <v>341</v>
      </c>
      <c r="G335" s="445">
        <f>+C314</f>
        <v>150</v>
      </c>
      <c r="H335" s="445">
        <f>G335</f>
        <v>150</v>
      </c>
      <c r="I335" s="446">
        <f>H335</f>
        <v>150</v>
      </c>
    </row>
    <row r="336" spans="1:9" x14ac:dyDescent="0.2">
      <c r="A336" s="456" t="s">
        <v>342</v>
      </c>
      <c r="B336" s="445">
        <f>B315</f>
        <v>90</v>
      </c>
      <c r="C336" s="445">
        <f t="shared" si="36"/>
        <v>90</v>
      </c>
      <c r="D336" s="446">
        <f t="shared" si="36"/>
        <v>90</v>
      </c>
      <c r="E336" s="21"/>
      <c r="F336" s="456" t="s">
        <v>342</v>
      </c>
      <c r="G336" s="445">
        <f>+B315</f>
        <v>90</v>
      </c>
      <c r="H336" s="445">
        <f t="shared" ref="H336:I337" si="38">G336</f>
        <v>90</v>
      </c>
      <c r="I336" s="446">
        <f t="shared" si="38"/>
        <v>90</v>
      </c>
    </row>
    <row r="337" spans="1:9" x14ac:dyDescent="0.2">
      <c r="A337" s="456" t="s">
        <v>360</v>
      </c>
      <c r="B337" s="445">
        <f>H214</f>
        <v>254</v>
      </c>
      <c r="C337" s="445">
        <f t="shared" si="36"/>
        <v>254</v>
      </c>
      <c r="D337" s="446">
        <f t="shared" si="36"/>
        <v>254</v>
      </c>
      <c r="E337" s="21"/>
      <c r="F337" s="456" t="s">
        <v>360</v>
      </c>
      <c r="G337" s="445">
        <f>+B337</f>
        <v>254</v>
      </c>
      <c r="H337" s="445">
        <f t="shared" si="38"/>
        <v>254</v>
      </c>
      <c r="I337" s="446">
        <f t="shared" si="38"/>
        <v>254</v>
      </c>
    </row>
    <row r="338" spans="1:9" ht="28.5" x14ac:dyDescent="0.2">
      <c r="A338" s="459" t="s">
        <v>361</v>
      </c>
      <c r="B338" s="460">
        <f>SUM(B332:B337)</f>
        <v>8764.5</v>
      </c>
      <c r="C338" s="460">
        <f>SUM(C332:C337)</f>
        <v>8764.5</v>
      </c>
      <c r="D338" s="461">
        <f>SUM(D332:D337)</f>
        <v>8764.5</v>
      </c>
      <c r="E338" s="21"/>
      <c r="F338" s="459" t="s">
        <v>361</v>
      </c>
      <c r="G338" s="460">
        <f>SUM(G332:G337)</f>
        <v>16955</v>
      </c>
      <c r="H338" s="460">
        <f>SUM(H332:H337)</f>
        <v>16955</v>
      </c>
      <c r="I338" s="461">
        <f>SUM(I332:I337)</f>
        <v>16955</v>
      </c>
    </row>
    <row r="339" spans="1:9" x14ac:dyDescent="0.2">
      <c r="A339" s="462"/>
      <c r="B339" s="463"/>
      <c r="C339" s="463"/>
      <c r="D339" s="464"/>
      <c r="E339" s="21"/>
      <c r="F339" s="462"/>
      <c r="G339" s="463"/>
      <c r="H339" s="463"/>
      <c r="I339" s="464"/>
    </row>
    <row r="340" spans="1:9" ht="15" x14ac:dyDescent="0.2">
      <c r="A340" s="452" t="s">
        <v>362</v>
      </c>
      <c r="B340" s="453" t="s">
        <v>352</v>
      </c>
      <c r="C340" s="453" t="s">
        <v>353</v>
      </c>
      <c r="D340" s="454" t="s">
        <v>354</v>
      </c>
      <c r="E340" s="21"/>
      <c r="F340" s="452" t="s">
        <v>362</v>
      </c>
      <c r="G340" s="453" t="s">
        <v>352</v>
      </c>
      <c r="H340" s="453" t="s">
        <v>353</v>
      </c>
      <c r="I340" s="454" t="s">
        <v>354</v>
      </c>
    </row>
    <row r="341" spans="1:9" ht="42.75" x14ac:dyDescent="0.2">
      <c r="A341" s="456" t="s">
        <v>363</v>
      </c>
      <c r="B341" s="445">
        <v>0</v>
      </c>
      <c r="C341" s="443">
        <f>I164</f>
        <v>334.33333333333337</v>
      </c>
      <c r="D341" s="446">
        <f>C341</f>
        <v>334.33333333333337</v>
      </c>
      <c r="E341" s="21"/>
      <c r="F341" s="456" t="s">
        <v>363</v>
      </c>
      <c r="G341" s="445">
        <v>0</v>
      </c>
      <c r="H341" s="443">
        <f>+C341</f>
        <v>334.33333333333337</v>
      </c>
      <c r="I341" s="446">
        <f>H341</f>
        <v>334.33333333333337</v>
      </c>
    </row>
    <row r="342" spans="1:9" ht="28.5" x14ac:dyDescent="0.2">
      <c r="A342" s="459" t="s">
        <v>364</v>
      </c>
      <c r="B342" s="465">
        <f>SUM(B341:B341)</f>
        <v>0</v>
      </c>
      <c r="C342" s="465">
        <f>SUM(C341:C341)</f>
        <v>334.33333333333337</v>
      </c>
      <c r="D342" s="466">
        <f>SUM(D341:D341)</f>
        <v>334.33333333333337</v>
      </c>
      <c r="E342" s="21"/>
      <c r="F342" s="459" t="s">
        <v>364</v>
      </c>
      <c r="G342" s="465">
        <f>SUM(G341:G341)</f>
        <v>0</v>
      </c>
      <c r="H342" s="465">
        <f>SUM(H341:H341)</f>
        <v>334.33333333333337</v>
      </c>
      <c r="I342" s="466">
        <f>SUM(I341:I341)</f>
        <v>334.33333333333337</v>
      </c>
    </row>
    <row r="343" spans="1:9" x14ac:dyDescent="0.2">
      <c r="A343" s="467"/>
      <c r="B343" s="21"/>
      <c r="C343" s="21"/>
      <c r="D343" s="451"/>
      <c r="E343" s="21"/>
      <c r="F343" s="467"/>
      <c r="G343" s="21"/>
      <c r="H343" s="21"/>
      <c r="I343" s="451"/>
    </row>
    <row r="344" spans="1:9" ht="15" x14ac:dyDescent="0.2">
      <c r="A344" s="468" t="s">
        <v>365</v>
      </c>
      <c r="B344" s="453" t="s">
        <v>352</v>
      </c>
      <c r="C344" s="453" t="s">
        <v>353</v>
      </c>
      <c r="D344" s="454" t="s">
        <v>354</v>
      </c>
      <c r="E344" s="21"/>
      <c r="F344" s="468" t="s">
        <v>365</v>
      </c>
      <c r="G344" s="453" t="s">
        <v>352</v>
      </c>
      <c r="H344" s="453" t="s">
        <v>353</v>
      </c>
      <c r="I344" s="454" t="s">
        <v>354</v>
      </c>
    </row>
    <row r="345" spans="1:9" x14ac:dyDescent="0.2">
      <c r="A345" s="469" t="s">
        <v>366</v>
      </c>
      <c r="B345" s="445"/>
      <c r="C345" s="445"/>
      <c r="D345" s="444">
        <f>F207</f>
        <v>1500</v>
      </c>
      <c r="E345" s="21"/>
      <c r="F345" s="469" t="s">
        <v>366</v>
      </c>
      <c r="G345" s="445"/>
      <c r="H345" s="445"/>
      <c r="I345" s="444">
        <f>+G207</f>
        <v>3000</v>
      </c>
    </row>
    <row r="346" spans="1:9" ht="28.5" x14ac:dyDescent="0.2">
      <c r="A346" s="469" t="s">
        <v>367</v>
      </c>
      <c r="B346" s="445"/>
      <c r="C346" s="445"/>
      <c r="D346" s="446">
        <f>D321</f>
        <v>34.328067226890738</v>
      </c>
      <c r="E346" s="21"/>
      <c r="F346" s="469" t="s">
        <v>367</v>
      </c>
      <c r="G346" s="445"/>
      <c r="H346" s="445"/>
      <c r="I346" s="446">
        <f>+E321</f>
        <v>67.365378151260458</v>
      </c>
    </row>
    <row r="347" spans="1:9" ht="42.75" x14ac:dyDescent="0.2">
      <c r="A347" s="469" t="s">
        <v>368</v>
      </c>
      <c r="B347" s="445"/>
      <c r="C347" s="445"/>
      <c r="D347" s="470">
        <f>J240</f>
        <v>1800</v>
      </c>
      <c r="E347" s="21"/>
      <c r="F347" s="469" t="s">
        <v>368</v>
      </c>
      <c r="G347" s="445"/>
      <c r="H347" s="445"/>
      <c r="I347" s="470">
        <f>+K240</f>
        <v>3600</v>
      </c>
    </row>
    <row r="348" spans="1:9" ht="28.5" x14ac:dyDescent="0.2">
      <c r="A348" s="469" t="s">
        <v>369</v>
      </c>
      <c r="B348" s="445"/>
      <c r="C348" s="445"/>
      <c r="D348" s="471">
        <f>J242</f>
        <v>750</v>
      </c>
      <c r="E348" s="21"/>
      <c r="F348" s="469" t="s">
        <v>369</v>
      </c>
      <c r="G348" s="445"/>
      <c r="H348" s="445"/>
      <c r="I348" s="471">
        <f>K242</f>
        <v>1500</v>
      </c>
    </row>
    <row r="349" spans="1:9" ht="29.25" thickBot="1" x14ac:dyDescent="0.25">
      <c r="A349" s="459" t="s">
        <v>370</v>
      </c>
      <c r="B349" s="448">
        <f>SUM(B345:B348)</f>
        <v>0</v>
      </c>
      <c r="C349" s="448">
        <f>SUM(C345:C348)</f>
        <v>0</v>
      </c>
      <c r="D349" s="461">
        <f>SUM(D345:D348)</f>
        <v>4084.3280672268907</v>
      </c>
      <c r="E349" s="21"/>
      <c r="F349" s="459" t="s">
        <v>370</v>
      </c>
      <c r="G349" s="448">
        <f>SUM(G345:G348)</f>
        <v>0</v>
      </c>
      <c r="H349" s="448">
        <f>SUM(H345:H348)</f>
        <v>0</v>
      </c>
      <c r="I349" s="461">
        <f>SUM(I345:I348)</f>
        <v>8167.3653781512603</v>
      </c>
    </row>
    <row r="350" spans="1:9" ht="15.75" thickBot="1" x14ac:dyDescent="0.25">
      <c r="A350" s="472" t="s">
        <v>371</v>
      </c>
      <c r="B350" s="473">
        <f>+B338+B342+B349</f>
        <v>8764.5</v>
      </c>
      <c r="C350" s="473">
        <f>+C338+C342+C349</f>
        <v>9098.8333333333339</v>
      </c>
      <c r="D350" s="474">
        <f>+D338+D342+D349</f>
        <v>13183.161400560224</v>
      </c>
      <c r="E350" s="21"/>
      <c r="F350" s="472" t="s">
        <v>371</v>
      </c>
      <c r="G350" s="473">
        <f>+G338+G342+G349</f>
        <v>16955</v>
      </c>
      <c r="H350" s="473">
        <f>+H338+H342+H349</f>
        <v>17289.333333333332</v>
      </c>
      <c r="I350" s="474">
        <f>+I338+I342+I349</f>
        <v>25456.698711484591</v>
      </c>
    </row>
    <row r="351" spans="1:9" x14ac:dyDescent="0.2">
      <c r="A351" s="21"/>
      <c r="B351" s="21"/>
      <c r="C351" s="21"/>
      <c r="D351" s="21"/>
      <c r="E351" s="21"/>
      <c r="F351" s="21"/>
      <c r="G351" s="21"/>
      <c r="H351" s="21"/>
      <c r="I351" s="21"/>
    </row>
    <row r="352" spans="1:9" ht="15" x14ac:dyDescent="0.2">
      <c r="A352" s="475" t="s">
        <v>372</v>
      </c>
      <c r="B352" s="476" t="s">
        <v>373</v>
      </c>
      <c r="C352" s="476" t="s">
        <v>353</v>
      </c>
      <c r="D352" s="476" t="s">
        <v>354</v>
      </c>
      <c r="E352" s="21"/>
      <c r="F352" s="475" t="s">
        <v>372</v>
      </c>
      <c r="G352" s="476" t="s">
        <v>373</v>
      </c>
      <c r="H352" s="476" t="s">
        <v>353</v>
      </c>
      <c r="I352" s="476" t="s">
        <v>354</v>
      </c>
    </row>
    <row r="353" spans="1:9" ht="30" x14ac:dyDescent="0.2">
      <c r="A353" s="477" t="str">
        <f>+A329&amp;" del sistema"</f>
        <v>Beneficios totales del sistema</v>
      </c>
      <c r="B353" s="478">
        <f>B329</f>
        <v>18800.5</v>
      </c>
      <c r="C353" s="478">
        <f>C329</f>
        <v>18800.5</v>
      </c>
      <c r="D353" s="478">
        <f>D329</f>
        <v>18800.5</v>
      </c>
      <c r="E353" s="21"/>
      <c r="F353" s="477" t="str">
        <f>+F329&amp;" del sistema"</f>
        <v>Beneficios totales del sistema</v>
      </c>
      <c r="G353" s="478">
        <f>G329</f>
        <v>37601</v>
      </c>
      <c r="H353" s="478">
        <f>H329</f>
        <v>37601</v>
      </c>
      <c r="I353" s="478">
        <f>I329</f>
        <v>37601</v>
      </c>
    </row>
    <row r="354" spans="1:9" ht="15" x14ac:dyDescent="0.2">
      <c r="A354" s="477" t="s">
        <v>374</v>
      </c>
      <c r="B354" s="479">
        <f>B350</f>
        <v>8764.5</v>
      </c>
      <c r="C354" s="479">
        <f>C350</f>
        <v>9098.8333333333339</v>
      </c>
      <c r="D354" s="479">
        <f>D350</f>
        <v>13183.161400560224</v>
      </c>
      <c r="E354" s="21"/>
      <c r="F354" s="477" t="s">
        <v>374</v>
      </c>
      <c r="G354" s="479">
        <f>G350</f>
        <v>16955</v>
      </c>
      <c r="H354" s="479">
        <f>H350</f>
        <v>17289.333333333332</v>
      </c>
      <c r="I354" s="479">
        <f>I350</f>
        <v>25456.698711484591</v>
      </c>
    </row>
    <row r="355" spans="1:9" ht="15" x14ac:dyDescent="0.2">
      <c r="A355" s="480" t="s">
        <v>375</v>
      </c>
      <c r="B355" s="481">
        <f>B353-B354</f>
        <v>10036</v>
      </c>
      <c r="C355" s="481">
        <f t="shared" ref="C355" si="39">C353-C354</f>
        <v>9701.6666666666661</v>
      </c>
      <c r="D355" s="481">
        <f>D353-D354</f>
        <v>5617.3385994397759</v>
      </c>
      <c r="E355" s="21"/>
      <c r="F355" s="482" t="s">
        <v>376</v>
      </c>
      <c r="G355" s="483">
        <f>G353-G354</f>
        <v>20646</v>
      </c>
      <c r="H355" s="483">
        <f t="shared" ref="H355" si="40">H353-H354</f>
        <v>20311.666666666668</v>
      </c>
      <c r="I355" s="483">
        <f>I353-I354</f>
        <v>12144.301288515409</v>
      </c>
    </row>
    <row r="356" spans="1:9" ht="15" x14ac:dyDescent="0.2">
      <c r="A356" s="484"/>
      <c r="B356" s="484"/>
      <c r="C356" s="484"/>
      <c r="D356" s="484"/>
      <c r="E356" s="21"/>
      <c r="F356" s="21"/>
      <c r="G356" s="21"/>
      <c r="H356" s="21"/>
      <c r="I356" s="21"/>
    </row>
    <row r="357" spans="1:9" ht="15" x14ac:dyDescent="0.2">
      <c r="A357" s="476" t="str">
        <f>+A352</f>
        <v>Beneficios netos</v>
      </c>
      <c r="B357" s="476" t="s">
        <v>373</v>
      </c>
      <c r="C357" s="476" t="s">
        <v>353</v>
      </c>
      <c r="D357" s="476" t="s">
        <v>354</v>
      </c>
      <c r="E357" s="21"/>
      <c r="F357" s="476" t="str">
        <f>+F352</f>
        <v>Beneficios netos</v>
      </c>
      <c r="G357" s="476" t="s">
        <v>373</v>
      </c>
      <c r="H357" s="476" t="s">
        <v>353</v>
      </c>
      <c r="I357" s="476" t="s">
        <v>354</v>
      </c>
    </row>
    <row r="358" spans="1:9" ht="30" x14ac:dyDescent="0.2">
      <c r="A358" s="192" t="str">
        <f>+A326</f>
        <v>Beneficios del maíz (autoconsumo)</v>
      </c>
      <c r="B358" s="485">
        <f>+B353</f>
        <v>18800.5</v>
      </c>
      <c r="C358" s="485">
        <f>+C353</f>
        <v>18800.5</v>
      </c>
      <c r="D358" s="102">
        <f>+$B$375-$B$376</f>
        <v>6000</v>
      </c>
      <c r="E358" s="21"/>
      <c r="F358" s="192" t="str">
        <f>+F326</f>
        <v>Beneficios del maíz (autoconsumo)</v>
      </c>
      <c r="G358" s="102">
        <f>+G326</f>
        <v>12000</v>
      </c>
      <c r="H358" s="102">
        <f t="shared" ref="H358:I358" si="41">+H326</f>
        <v>12000</v>
      </c>
      <c r="I358" s="102">
        <f t="shared" si="41"/>
        <v>12000</v>
      </c>
    </row>
    <row r="359" spans="1:9" ht="15" x14ac:dyDescent="0.2">
      <c r="A359" s="346" t="s">
        <v>374</v>
      </c>
      <c r="B359" s="485">
        <f>+B354</f>
        <v>8764.5</v>
      </c>
      <c r="C359" s="485">
        <f t="shared" ref="C359:D359" si="42">+C354</f>
        <v>9098.8333333333339</v>
      </c>
      <c r="D359" s="485">
        <f t="shared" si="42"/>
        <v>13183.161400560224</v>
      </c>
      <c r="E359" s="21"/>
      <c r="F359" s="346" t="s">
        <v>374</v>
      </c>
      <c r="G359" s="485">
        <f>+G354-H184</f>
        <v>16514</v>
      </c>
      <c r="H359" s="485">
        <f>+H354-H184</f>
        <v>16848.333333333332</v>
      </c>
      <c r="I359" s="485">
        <f>+I354-H184</f>
        <v>25015.698711484591</v>
      </c>
    </row>
    <row r="360" spans="1:9" ht="15" x14ac:dyDescent="0.2">
      <c r="A360" s="480" t="str">
        <f>+A355</f>
        <v>Beneficio neto por URP</v>
      </c>
      <c r="B360" s="481">
        <f>+B358-B359</f>
        <v>10036</v>
      </c>
      <c r="C360" s="481">
        <f t="shared" ref="C360:D360" si="43">+C358-C359</f>
        <v>9701.6666666666661</v>
      </c>
      <c r="D360" s="481">
        <f t="shared" si="43"/>
        <v>-7183.1614005602241</v>
      </c>
      <c r="E360" s="21"/>
      <c r="F360" s="486" t="str">
        <f>+F355</f>
        <v>Beneficio neto por Ha</v>
      </c>
      <c r="G360" s="481">
        <f>+G358-G359</f>
        <v>-4514</v>
      </c>
      <c r="H360" s="481">
        <f t="shared" ref="H360:I360" si="44">+H358-H359</f>
        <v>-4848.3333333333321</v>
      </c>
      <c r="I360" s="481">
        <f t="shared" si="44"/>
        <v>-13015.698711484591</v>
      </c>
    </row>
    <row r="361" spans="1:9" ht="15" x14ac:dyDescent="0.2">
      <c r="A361" s="100"/>
      <c r="B361" s="476" t="s">
        <v>377</v>
      </c>
      <c r="C361" s="476" t="s">
        <v>378</v>
      </c>
      <c r="D361" s="476" t="s">
        <v>379</v>
      </c>
      <c r="E361" s="21"/>
      <c r="F361" s="100"/>
      <c r="G361" s="476" t="s">
        <v>377</v>
      </c>
      <c r="H361" s="476" t="s">
        <v>378</v>
      </c>
      <c r="I361" s="476" t="s">
        <v>379</v>
      </c>
    </row>
    <row r="362" spans="1:9" ht="30" x14ac:dyDescent="0.2">
      <c r="A362" s="192" t="s">
        <v>380</v>
      </c>
      <c r="B362" s="102">
        <f>+B359/$B$46</f>
        <v>14.6075</v>
      </c>
      <c r="C362" s="102">
        <f>+C359/$B$46</f>
        <v>15.164722222222224</v>
      </c>
      <c r="D362" s="102">
        <f>+D359/$B$46</f>
        <v>21.971935667600373</v>
      </c>
      <c r="E362" s="21"/>
      <c r="F362" s="192" t="s">
        <v>380</v>
      </c>
      <c r="G362" s="102">
        <f>+G359/$C$46</f>
        <v>13.761666666666667</v>
      </c>
      <c r="H362" s="102">
        <f>+H359/$C$46</f>
        <v>14.040277777777776</v>
      </c>
      <c r="I362" s="102">
        <f>+I359/$C$46</f>
        <v>20.846415592903824</v>
      </c>
    </row>
    <row r="363" spans="1:9" ht="15" thickBot="1" x14ac:dyDescent="0.25">
      <c r="A363" s="487"/>
      <c r="B363" s="488"/>
      <c r="C363" s="488"/>
      <c r="D363" s="488"/>
      <c r="E363" s="21"/>
      <c r="F363" s="487"/>
      <c r="G363" s="488"/>
      <c r="H363" s="488"/>
      <c r="I363" s="488"/>
    </row>
    <row r="364" spans="1:9" ht="15" x14ac:dyDescent="0.2">
      <c r="A364" s="489" t="s">
        <v>381</v>
      </c>
      <c r="B364" s="490"/>
      <c r="C364" s="490"/>
      <c r="D364" s="491"/>
      <c r="E364" s="21"/>
      <c r="F364" s="489" t="s">
        <v>381</v>
      </c>
      <c r="G364" s="490"/>
      <c r="H364" s="490"/>
      <c r="I364" s="491"/>
    </row>
    <row r="365" spans="1:9" ht="15" x14ac:dyDescent="0.2">
      <c r="A365" s="492" t="str">
        <f>+A357</f>
        <v>Beneficios netos</v>
      </c>
      <c r="B365" s="476" t="s">
        <v>373</v>
      </c>
      <c r="C365" s="476" t="s">
        <v>353</v>
      </c>
      <c r="D365" s="476" t="s">
        <v>354</v>
      </c>
      <c r="E365" s="21"/>
      <c r="F365" s="492" t="str">
        <f>+A365</f>
        <v>Beneficios netos</v>
      </c>
      <c r="G365" s="476" t="s">
        <v>373</v>
      </c>
      <c r="H365" s="476" t="s">
        <v>353</v>
      </c>
      <c r="I365" s="476" t="s">
        <v>354</v>
      </c>
    </row>
    <row r="366" spans="1:9" ht="15" x14ac:dyDescent="0.2">
      <c r="A366" s="493" t="s">
        <v>382</v>
      </c>
      <c r="B366" s="478">
        <f t="shared" ref="B366:D367" si="45">+B353</f>
        <v>18800.5</v>
      </c>
      <c r="C366" s="478">
        <f t="shared" si="45"/>
        <v>18800.5</v>
      </c>
      <c r="D366" s="478">
        <f t="shared" si="45"/>
        <v>18800.5</v>
      </c>
      <c r="E366" s="21"/>
      <c r="F366" s="493" t="str">
        <f>+A366</f>
        <v>Beneficio total</v>
      </c>
      <c r="G366" s="478">
        <f t="shared" ref="G366:I367" si="46">+G353</f>
        <v>37601</v>
      </c>
      <c r="H366" s="478">
        <f t="shared" si="46"/>
        <v>37601</v>
      </c>
      <c r="I366" s="478">
        <f t="shared" si="46"/>
        <v>37601</v>
      </c>
    </row>
    <row r="367" spans="1:9" ht="15" x14ac:dyDescent="0.2">
      <c r="A367" s="477" t="s">
        <v>374</v>
      </c>
      <c r="B367" s="478">
        <f t="shared" si="45"/>
        <v>8764.5</v>
      </c>
      <c r="C367" s="478">
        <f t="shared" si="45"/>
        <v>9098.8333333333339</v>
      </c>
      <c r="D367" s="478">
        <f t="shared" si="45"/>
        <v>13183.161400560224</v>
      </c>
      <c r="E367" s="21"/>
      <c r="F367" s="477" t="s">
        <v>374</v>
      </c>
      <c r="G367" s="478">
        <f t="shared" si="46"/>
        <v>16955</v>
      </c>
      <c r="H367" s="478">
        <f t="shared" si="46"/>
        <v>17289.333333333332</v>
      </c>
      <c r="I367" s="478">
        <f t="shared" si="46"/>
        <v>25456.698711484591</v>
      </c>
    </row>
    <row r="368" spans="1:9" ht="45" x14ac:dyDescent="0.2">
      <c r="A368" s="477" t="s">
        <v>383</v>
      </c>
      <c r="B368" s="494">
        <f>+G191+G194+G195</f>
        <v>2750</v>
      </c>
      <c r="C368" s="494">
        <f>+B368</f>
        <v>2750</v>
      </c>
      <c r="D368" s="494">
        <f>+C368</f>
        <v>2750</v>
      </c>
      <c r="E368" s="21"/>
      <c r="F368" s="477" t="s">
        <v>383</v>
      </c>
      <c r="G368" s="494">
        <f>+H191+H194+H195</f>
        <v>5500</v>
      </c>
      <c r="H368" s="494">
        <f>+G368</f>
        <v>5500</v>
      </c>
      <c r="I368" s="494">
        <f>+H368</f>
        <v>5500</v>
      </c>
    </row>
    <row r="369" spans="1:9" ht="15" x14ac:dyDescent="0.2">
      <c r="A369" s="480" t="s">
        <v>375</v>
      </c>
      <c r="B369" s="481">
        <f>+B366-(B367-B368)</f>
        <v>12786</v>
      </c>
      <c r="C369" s="481">
        <f t="shared" ref="C369:D369" si="47">+C366-(C367-C368)</f>
        <v>12451.666666666666</v>
      </c>
      <c r="D369" s="481">
        <f t="shared" si="47"/>
        <v>8367.3385994397759</v>
      </c>
      <c r="E369" s="21"/>
      <c r="F369" s="486" t="s">
        <v>376</v>
      </c>
      <c r="G369" s="481">
        <f>+G366-(G367-G368)</f>
        <v>26146</v>
      </c>
      <c r="H369" s="481">
        <f t="shared" ref="H369:I369" si="48">+H366-(H367-H368)</f>
        <v>25811.666666666668</v>
      </c>
      <c r="I369" s="481">
        <f t="shared" si="48"/>
        <v>17644.301288515409</v>
      </c>
    </row>
    <row r="370" spans="1:9" ht="15" x14ac:dyDescent="0.2">
      <c r="A370" s="100"/>
      <c r="B370" s="476" t="s">
        <v>377</v>
      </c>
      <c r="C370" s="476" t="s">
        <v>378</v>
      </c>
      <c r="D370" s="476" t="s">
        <v>379</v>
      </c>
      <c r="E370" s="21"/>
      <c r="F370" s="100"/>
      <c r="G370" s="476" t="s">
        <v>377</v>
      </c>
      <c r="H370" s="476" t="s">
        <v>378</v>
      </c>
      <c r="I370" s="476" t="s">
        <v>379</v>
      </c>
    </row>
    <row r="371" spans="1:9" ht="30" x14ac:dyDescent="0.2">
      <c r="A371" s="192" t="s">
        <v>380</v>
      </c>
      <c r="B371" s="102">
        <f>(B367-B368)/$B$46</f>
        <v>10.024166666666666</v>
      </c>
      <c r="C371" s="102">
        <f>(C367-C368)/$B$46</f>
        <v>10.58138888888889</v>
      </c>
      <c r="D371" s="102">
        <f>(D367-D368)/$B$46</f>
        <v>17.388602334267041</v>
      </c>
      <c r="E371" s="21"/>
      <c r="F371" s="192" t="s">
        <v>380</v>
      </c>
      <c r="G371" s="102">
        <f>(G367-G368)/$C$46</f>
        <v>9.5458333333333325</v>
      </c>
      <c r="H371" s="102">
        <f>(H367-H368)/$C$46</f>
        <v>9.8244444444444436</v>
      </c>
      <c r="I371" s="102">
        <f>(I367-I368)/$C$46</f>
        <v>16.630582259570492</v>
      </c>
    </row>
    <row r="372" spans="1:9" ht="15" thickBot="1" x14ac:dyDescent="0.25">
      <c r="A372" s="21"/>
      <c r="B372" s="21"/>
      <c r="C372" s="21"/>
      <c r="D372" s="21"/>
      <c r="E372" s="21"/>
      <c r="F372" s="21"/>
      <c r="G372" s="21"/>
      <c r="H372" s="21"/>
      <c r="I372" s="21"/>
    </row>
    <row r="373" spans="1:9" ht="33" customHeight="1" x14ac:dyDescent="0.2">
      <c r="A373" s="489" t="s">
        <v>384</v>
      </c>
      <c r="B373" s="490"/>
      <c r="C373" s="490"/>
      <c r="D373" s="491"/>
      <c r="E373" s="21"/>
      <c r="F373" s="495" t="s">
        <v>384</v>
      </c>
      <c r="G373" s="496"/>
      <c r="H373" s="496"/>
      <c r="I373" s="497"/>
    </row>
    <row r="374" spans="1:9" ht="15" x14ac:dyDescent="0.2">
      <c r="A374" s="475" t="s">
        <v>109</v>
      </c>
      <c r="B374" s="475" t="s">
        <v>337</v>
      </c>
      <c r="C374" s="21"/>
      <c r="D374" s="21"/>
      <c r="E374" s="21"/>
      <c r="F374" s="475" t="s">
        <v>109</v>
      </c>
      <c r="G374" s="475" t="s">
        <v>337</v>
      </c>
      <c r="H374" s="21"/>
      <c r="I374" s="21"/>
    </row>
    <row r="375" spans="1:9" ht="30" x14ac:dyDescent="0.2">
      <c r="A375" s="192" t="s">
        <v>385</v>
      </c>
      <c r="B375" s="485">
        <f>+D353</f>
        <v>18800.5</v>
      </c>
      <c r="C375" s="21"/>
      <c r="D375" s="21"/>
      <c r="E375" s="21"/>
      <c r="F375" s="192" t="str">
        <f>+A375</f>
        <v>Beneficios del sistema milpa</v>
      </c>
      <c r="G375" s="485">
        <f>+I329</f>
        <v>37601</v>
      </c>
      <c r="H375" s="21"/>
      <c r="I375" s="21"/>
    </row>
    <row r="376" spans="1:9" ht="30" x14ac:dyDescent="0.2">
      <c r="A376" s="192" t="s">
        <v>386</v>
      </c>
      <c r="B376" s="102">
        <f>+J289</f>
        <v>12800.5</v>
      </c>
      <c r="C376" s="21"/>
      <c r="D376" s="21"/>
      <c r="E376" s="21"/>
      <c r="F376" s="192" t="str">
        <f>+A376</f>
        <v>Beneficios de cultivos asociados y otros</v>
      </c>
      <c r="G376" s="102">
        <f>+I327</f>
        <v>25601</v>
      </c>
      <c r="H376" s="21"/>
      <c r="I376" s="21"/>
    </row>
    <row r="377" spans="1:9" ht="75" customHeight="1" x14ac:dyDescent="0.2">
      <c r="A377" s="192" t="s">
        <v>387</v>
      </c>
      <c r="B377" s="498">
        <f>+B376/B375</f>
        <v>0.68085955160766998</v>
      </c>
      <c r="C377" s="21"/>
      <c r="D377" s="21"/>
      <c r="E377" s="21"/>
      <c r="F377" s="192" t="str">
        <f>+A377</f>
        <v>Porcentaje de beneficios de cultivos asociados y otros</v>
      </c>
      <c r="G377" s="498">
        <f>+G376/G375</f>
        <v>0.68085955160766998</v>
      </c>
      <c r="H377" s="21"/>
      <c r="I377" s="21"/>
    </row>
  </sheetData>
  <mergeCells count="181">
    <mergeCell ref="A324:D324"/>
    <mergeCell ref="F324:I324"/>
    <mergeCell ref="A364:D364"/>
    <mergeCell ref="F364:I364"/>
    <mergeCell ref="A373:D373"/>
    <mergeCell ref="F373:I373"/>
    <mergeCell ref="A291:N291"/>
    <mergeCell ref="A292:J294"/>
    <mergeCell ref="A295:I295"/>
    <mergeCell ref="B305:B308"/>
    <mergeCell ref="A323:D323"/>
    <mergeCell ref="F323:I323"/>
    <mergeCell ref="A258:C258"/>
    <mergeCell ref="A259:C259"/>
    <mergeCell ref="A280:C280"/>
    <mergeCell ref="A288:I288"/>
    <mergeCell ref="Q288:Q290"/>
    <mergeCell ref="R288:R290"/>
    <mergeCell ref="A289:I289"/>
    <mergeCell ref="A290:I290"/>
    <mergeCell ref="A252:C252"/>
    <mergeCell ref="A253:C253"/>
    <mergeCell ref="A254:C254"/>
    <mergeCell ref="A255:C255"/>
    <mergeCell ref="A256:C256"/>
    <mergeCell ref="A257:C257"/>
    <mergeCell ref="A242:I242"/>
    <mergeCell ref="A243:N243"/>
    <mergeCell ref="A244:F246"/>
    <mergeCell ref="A248:I248"/>
    <mergeCell ref="A249:J249"/>
    <mergeCell ref="A250:C251"/>
    <mergeCell ref="D250:F250"/>
    <mergeCell ref="G250:I250"/>
    <mergeCell ref="J250:J251"/>
    <mergeCell ref="K250:K251"/>
    <mergeCell ref="A235:C235"/>
    <mergeCell ref="A237:C237"/>
    <mergeCell ref="A238:I238"/>
    <mergeCell ref="A239:I239"/>
    <mergeCell ref="A240:I240"/>
    <mergeCell ref="A241:I241"/>
    <mergeCell ref="A229:C229"/>
    <mergeCell ref="A230:C230"/>
    <mergeCell ref="A231:C231"/>
    <mergeCell ref="A232:C232"/>
    <mergeCell ref="A233:C233"/>
    <mergeCell ref="A234:C234"/>
    <mergeCell ref="A220:N220"/>
    <mergeCell ref="A221:N223"/>
    <mergeCell ref="A226:J226"/>
    <mergeCell ref="A227:C228"/>
    <mergeCell ref="D227:F227"/>
    <mergeCell ref="G227:J227"/>
    <mergeCell ref="A212:B212"/>
    <mergeCell ref="A213:B213"/>
    <mergeCell ref="A214:E214"/>
    <mergeCell ref="A217:B217"/>
    <mergeCell ref="A218:B218"/>
    <mergeCell ref="A219:E219"/>
    <mergeCell ref="A205:F205"/>
    <mergeCell ref="A206:B206"/>
    <mergeCell ref="A207:B207"/>
    <mergeCell ref="A208:B208"/>
    <mergeCell ref="A209:E209"/>
    <mergeCell ref="A211:F211"/>
    <mergeCell ref="A174:G174"/>
    <mergeCell ref="D175:G175"/>
    <mergeCell ref="A199:N199"/>
    <mergeCell ref="A200:N202"/>
    <mergeCell ref="A204:F204"/>
    <mergeCell ref="G204:L204"/>
    <mergeCell ref="M204:O204"/>
    <mergeCell ref="A168:F168"/>
    <mergeCell ref="A169:B169"/>
    <mergeCell ref="A170:B170"/>
    <mergeCell ref="A171:E171"/>
    <mergeCell ref="A173:F173"/>
    <mergeCell ref="G173:K173"/>
    <mergeCell ref="A161:B161"/>
    <mergeCell ref="A162:B162"/>
    <mergeCell ref="A163:B163"/>
    <mergeCell ref="A164:F164"/>
    <mergeCell ref="A166:N166"/>
    <mergeCell ref="A167:K167"/>
    <mergeCell ref="A154:B154"/>
    <mergeCell ref="A155:B155"/>
    <mergeCell ref="A156:B156"/>
    <mergeCell ref="A157:B157"/>
    <mergeCell ref="A158:B158"/>
    <mergeCell ref="A160:B160"/>
    <mergeCell ref="A145:D145"/>
    <mergeCell ref="A146:N146"/>
    <mergeCell ref="A147:N149"/>
    <mergeCell ref="A151:N151"/>
    <mergeCell ref="A152:C152"/>
    <mergeCell ref="A153:B153"/>
    <mergeCell ref="C141:C142"/>
    <mergeCell ref="D141:D142"/>
    <mergeCell ref="E141:E142"/>
    <mergeCell ref="F141:F142"/>
    <mergeCell ref="A143:B143"/>
    <mergeCell ref="A144:B144"/>
    <mergeCell ref="A135:B135"/>
    <mergeCell ref="A136:B136"/>
    <mergeCell ref="A137:B137"/>
    <mergeCell ref="A138:B138"/>
    <mergeCell ref="A140:B140"/>
    <mergeCell ref="A141:B142"/>
    <mergeCell ref="A125:N127"/>
    <mergeCell ref="A129:N129"/>
    <mergeCell ref="A131:N131"/>
    <mergeCell ref="A132:N132"/>
    <mergeCell ref="A133:B134"/>
    <mergeCell ref="C133:C134"/>
    <mergeCell ref="A97:N97"/>
    <mergeCell ref="A98:N100"/>
    <mergeCell ref="A102:D102"/>
    <mergeCell ref="A103:B103"/>
    <mergeCell ref="A114:B114"/>
    <mergeCell ref="A124:N124"/>
    <mergeCell ref="A81:C81"/>
    <mergeCell ref="D81:E81"/>
    <mergeCell ref="A82:N82"/>
    <mergeCell ref="A83:N84"/>
    <mergeCell ref="A86:D86"/>
    <mergeCell ref="A87:A88"/>
    <mergeCell ref="B87:B88"/>
    <mergeCell ref="C87:C88"/>
    <mergeCell ref="D87:D88"/>
    <mergeCell ref="A78:C78"/>
    <mergeCell ref="D78:E78"/>
    <mergeCell ref="A79:C79"/>
    <mergeCell ref="D79:E79"/>
    <mergeCell ref="A80:C80"/>
    <mergeCell ref="D80:E80"/>
    <mergeCell ref="A75:C75"/>
    <mergeCell ref="D75:E75"/>
    <mergeCell ref="A76:C76"/>
    <mergeCell ref="D76:E76"/>
    <mergeCell ref="A77:C77"/>
    <mergeCell ref="D77:E77"/>
    <mergeCell ref="A72:C72"/>
    <mergeCell ref="D72:E72"/>
    <mergeCell ref="A73:C73"/>
    <mergeCell ref="D73:E73"/>
    <mergeCell ref="A74:C74"/>
    <mergeCell ref="D74:E74"/>
    <mergeCell ref="A50:C50"/>
    <mergeCell ref="A58:A59"/>
    <mergeCell ref="A64:N64"/>
    <mergeCell ref="A65:N67"/>
    <mergeCell ref="A69:N69"/>
    <mergeCell ref="A71:C71"/>
    <mergeCell ref="D71:E71"/>
    <mergeCell ref="A38:N38"/>
    <mergeCell ref="A40:C40"/>
    <mergeCell ref="H40:K40"/>
    <mergeCell ref="H41:J41"/>
    <mergeCell ref="K41:N41"/>
    <mergeCell ref="H42:J43"/>
    <mergeCell ref="K42:N43"/>
    <mergeCell ref="A16:B19"/>
    <mergeCell ref="C16:N19"/>
    <mergeCell ref="A32:C32"/>
    <mergeCell ref="A33:C33"/>
    <mergeCell ref="A34:C34"/>
    <mergeCell ref="A35:C35"/>
    <mergeCell ref="A12:B12"/>
    <mergeCell ref="C12:N12"/>
    <mergeCell ref="A13:B13"/>
    <mergeCell ref="C13:N13"/>
    <mergeCell ref="A14:B14"/>
    <mergeCell ref="C14:N14"/>
    <mergeCell ref="D4:K5"/>
    <mergeCell ref="C6:L8"/>
    <mergeCell ref="A9:N9"/>
    <mergeCell ref="A10:B10"/>
    <mergeCell ref="C10:N10"/>
    <mergeCell ref="A11:B11"/>
    <mergeCell ref="C11:N11"/>
  </mergeCells>
  <pageMargins left="0.7" right="0.7" top="0.82023809523809521" bottom="0.75" header="0.3" footer="0.3"/>
  <pageSetup scale="46" orientation="portrait" r:id="rId1"/>
  <rowBreaks count="3" manualBreakCount="3">
    <brk id="68" max="16383" man="1"/>
    <brk id="224" max="16383" man="1"/>
    <brk id="294" max="16383" man="1"/>
  </rowBreaks>
  <colBreaks count="1" manualBreakCount="1">
    <brk id="14" min="8" max="496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Cost-benefit Traditional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Diaz</dc:creator>
  <cp:lastModifiedBy>Julio Diaz</cp:lastModifiedBy>
  <dcterms:created xsi:type="dcterms:W3CDTF">2025-09-05T18:20:16Z</dcterms:created>
  <dcterms:modified xsi:type="dcterms:W3CDTF">2025-09-05T18:21:50Z</dcterms:modified>
</cp:coreProperties>
</file>